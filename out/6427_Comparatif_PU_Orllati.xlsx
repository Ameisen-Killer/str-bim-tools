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R:\Geneve\affaires\6400\6427 - Pôlebio\9-Soumissions\6-Comparaison et analyses\2- Comparatif TR\"/>
    </mc:Choice>
  </mc:AlternateContent>
  <xr:revisionPtr revIDLastSave="0" documentId="13_ncr:1_{FCECB837-04B5-495E-8F9B-7969345F6199}" xr6:coauthVersionLast="47" xr6:coauthVersionMax="47" xr10:uidLastSave="{00000000-0000-0000-0000-000000000000}"/>
  <bookViews>
    <workbookView xWindow="-120" yWindow="-120" windowWidth="38640" windowHeight="21120" xr2:uid="{00000000-000D-0000-FFFF-FFFF00000000}"/>
  </bookViews>
  <sheets>
    <sheet name="Comparatif" sheetId="1" r:id="rId1"/>
  </sheets>
  <definedNames>
    <definedName name="_xlnm._FilterDatabase" localSheetId="0" hidden="1">Comparatif!$A$7:$J$91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9" i="1" l="1"/>
  <c r="AB88" i="1"/>
  <c r="AB87" i="1"/>
  <c r="AB86" i="1"/>
  <c r="AB85" i="1"/>
  <c r="AB83" i="1"/>
  <c r="AB82" i="1"/>
  <c r="AB80" i="1"/>
  <c r="AB79" i="1"/>
  <c r="AB78" i="1"/>
  <c r="AB76" i="1"/>
  <c r="AB75" i="1"/>
  <c r="AB74" i="1"/>
  <c r="AB73" i="1"/>
  <c r="AB72" i="1"/>
  <c r="AB71" i="1"/>
  <c r="AB70" i="1"/>
  <c r="AB69" i="1"/>
  <c r="AB68" i="1"/>
  <c r="AB67" i="1"/>
  <c r="AB66" i="1"/>
  <c r="AB65" i="1"/>
  <c r="AB64" i="1"/>
  <c r="AB63" i="1"/>
  <c r="AB62" i="1"/>
  <c r="AB61" i="1"/>
  <c r="AB60" i="1"/>
  <c r="AB59" i="1"/>
  <c r="AB58" i="1"/>
  <c r="AB57" i="1"/>
  <c r="AB56" i="1"/>
  <c r="AB55" i="1"/>
  <c r="AB54" i="1"/>
  <c r="AB53" i="1"/>
  <c r="AB52" i="1"/>
  <c r="AB51" i="1"/>
  <c r="AB50" i="1"/>
  <c r="AB49" i="1"/>
  <c r="AB48" i="1"/>
  <c r="AB47" i="1"/>
  <c r="AB46" i="1"/>
  <c r="AB45" i="1"/>
  <c r="AB44" i="1"/>
  <c r="AB43" i="1"/>
  <c r="AB42" i="1"/>
  <c r="AB41" i="1"/>
  <c r="AB40" i="1"/>
  <c r="AB39" i="1"/>
  <c r="AB37" i="1"/>
  <c r="AB36" i="1"/>
  <c r="AB35" i="1"/>
  <c r="AB34" i="1"/>
  <c r="AB32" i="1"/>
  <c r="AB31" i="1"/>
  <c r="AB30" i="1"/>
  <c r="AB29" i="1"/>
  <c r="AB28" i="1"/>
  <c r="AB27" i="1"/>
  <c r="AB26" i="1"/>
  <c r="AB25" i="1"/>
  <c r="AB24" i="1"/>
  <c r="AB23" i="1"/>
  <c r="AB22" i="1"/>
  <c r="AB21" i="1"/>
  <c r="AB20" i="1"/>
  <c r="AB19" i="1"/>
  <c r="AB18" i="1"/>
  <c r="AB17" i="1"/>
  <c r="AB15" i="1"/>
  <c r="AB14" i="1"/>
  <c r="AB13" i="1"/>
  <c r="AB12" i="1"/>
  <c r="AB11" i="1"/>
  <c r="AB10" i="1"/>
  <c r="AB9" i="1"/>
  <c r="AB8" i="1"/>
  <c r="Y86" i="1"/>
  <c r="Y87" i="1"/>
  <c r="Y88" i="1"/>
  <c r="Y89" i="1"/>
  <c r="Y85" i="1"/>
  <c r="Y83" i="1"/>
  <c r="Y82" i="1"/>
  <c r="Y79" i="1"/>
  <c r="Y80" i="1"/>
  <c r="Y78"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39" i="1"/>
  <c r="Y35" i="1"/>
  <c r="Y36" i="1"/>
  <c r="Y37" i="1"/>
  <c r="Y34" i="1"/>
  <c r="Y32" i="1"/>
  <c r="Y18" i="1"/>
  <c r="Y19" i="1"/>
  <c r="Y20" i="1"/>
  <c r="Y21" i="1"/>
  <c r="Y22" i="1"/>
  <c r="Y23" i="1"/>
  <c r="Y24" i="1"/>
  <c r="Y25" i="1"/>
  <c r="Y26" i="1"/>
  <c r="Y27" i="1"/>
  <c r="Y28" i="1"/>
  <c r="Y29" i="1"/>
  <c r="Y30" i="1"/>
  <c r="Y31" i="1"/>
  <c r="Y17" i="1"/>
  <c r="Y9" i="1"/>
  <c r="Y10" i="1"/>
  <c r="Y11" i="1"/>
  <c r="Y12" i="1"/>
  <c r="Y13" i="1"/>
  <c r="Y14" i="1"/>
  <c r="Y15" i="1"/>
  <c r="Y8" i="1"/>
  <c r="I85" i="1"/>
  <c r="AB81" i="1" l="1"/>
  <c r="AB84" i="1"/>
  <c r="AB16" i="1"/>
  <c r="AB77" i="1"/>
  <c r="Y81" i="1"/>
  <c r="AB33" i="1"/>
  <c r="AB38" i="1"/>
  <c r="AB90" i="1"/>
  <c r="Y84" i="1"/>
  <c r="Y38" i="1"/>
  <c r="Y90" i="1"/>
  <c r="Y77" i="1"/>
  <c r="Y33" i="1"/>
  <c r="Y16" i="1"/>
  <c r="M70" i="1"/>
  <c r="U89" i="1"/>
  <c r="U88" i="1"/>
  <c r="U87" i="1"/>
  <c r="U86" i="1"/>
  <c r="U83" i="1"/>
  <c r="U82" i="1"/>
  <c r="U80" i="1"/>
  <c r="U79" i="1"/>
  <c r="U78"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7" i="1"/>
  <c r="U36" i="1"/>
  <c r="U35" i="1"/>
  <c r="U34" i="1"/>
  <c r="U32" i="1"/>
  <c r="U31" i="1"/>
  <c r="U30" i="1"/>
  <c r="U29" i="1"/>
  <c r="U28" i="1"/>
  <c r="U27" i="1"/>
  <c r="U26" i="1"/>
  <c r="U25" i="1"/>
  <c r="U24" i="1"/>
  <c r="U23" i="1"/>
  <c r="U22" i="1"/>
  <c r="U21" i="1"/>
  <c r="U20" i="1"/>
  <c r="U19" i="1"/>
  <c r="U18" i="1"/>
  <c r="U17" i="1"/>
  <c r="U15" i="1"/>
  <c r="U14" i="1"/>
  <c r="U13" i="1"/>
  <c r="U12" i="1"/>
  <c r="U11" i="1"/>
  <c r="U10" i="1"/>
  <c r="U9" i="1"/>
  <c r="U8" i="1"/>
  <c r="L51" i="1"/>
  <c r="O51" i="1" s="1"/>
  <c r="P59" i="1"/>
  <c r="P86" i="1"/>
  <c r="P89" i="1"/>
  <c r="P85" i="1"/>
  <c r="P41" i="1"/>
  <c r="P42" i="1"/>
  <c r="P48" i="1"/>
  <c r="P53" i="1"/>
  <c r="P57" i="1"/>
  <c r="P61" i="1"/>
  <c r="P62" i="1"/>
  <c r="P64" i="1"/>
  <c r="P67" i="1"/>
  <c r="P71" i="1"/>
  <c r="P73" i="1"/>
  <c r="P39" i="1"/>
  <c r="O17" i="1"/>
  <c r="O18" i="1"/>
  <c r="O19" i="1"/>
  <c r="O20" i="1"/>
  <c r="O21" i="1"/>
  <c r="O22" i="1"/>
  <c r="O23" i="1"/>
  <c r="O24" i="1"/>
  <c r="O25" i="1"/>
  <c r="O26" i="1"/>
  <c r="O27" i="1"/>
  <c r="O28" i="1"/>
  <c r="O29" i="1"/>
  <c r="O30" i="1"/>
  <c r="O31" i="1"/>
  <c r="O32" i="1"/>
  <c r="O34" i="1"/>
  <c r="O35" i="1"/>
  <c r="O36" i="1"/>
  <c r="O37" i="1"/>
  <c r="O39" i="1"/>
  <c r="O40" i="1"/>
  <c r="O41" i="1"/>
  <c r="O42" i="1"/>
  <c r="O43" i="1"/>
  <c r="O44" i="1"/>
  <c r="O45" i="1"/>
  <c r="O46" i="1"/>
  <c r="O47" i="1"/>
  <c r="O48" i="1"/>
  <c r="O49" i="1"/>
  <c r="O50" i="1"/>
  <c r="O52" i="1"/>
  <c r="O53" i="1"/>
  <c r="O54" i="1"/>
  <c r="O55" i="1"/>
  <c r="O56" i="1"/>
  <c r="O57" i="1"/>
  <c r="O58" i="1"/>
  <c r="O59" i="1"/>
  <c r="O60" i="1"/>
  <c r="O61" i="1"/>
  <c r="O62" i="1"/>
  <c r="O63" i="1"/>
  <c r="O64" i="1"/>
  <c r="O65" i="1"/>
  <c r="O66" i="1"/>
  <c r="O67" i="1"/>
  <c r="R68" i="1" s="1"/>
  <c r="O68" i="1"/>
  <c r="O69" i="1"/>
  <c r="O70" i="1"/>
  <c r="O71" i="1"/>
  <c r="O73" i="1"/>
  <c r="O74" i="1"/>
  <c r="O76" i="1"/>
  <c r="O78" i="1"/>
  <c r="O79" i="1"/>
  <c r="O80" i="1"/>
  <c r="O82" i="1"/>
  <c r="O83" i="1"/>
  <c r="O85" i="1"/>
  <c r="O86" i="1"/>
  <c r="O88" i="1"/>
  <c r="O89" i="1"/>
  <c r="O9" i="1"/>
  <c r="O10" i="1"/>
  <c r="O11" i="1"/>
  <c r="O12" i="1"/>
  <c r="O13" i="1"/>
  <c r="O14" i="1"/>
  <c r="O15" i="1"/>
  <c r="O8" i="1"/>
  <c r="L87" i="1"/>
  <c r="M87" i="1" s="1"/>
  <c r="J85" i="1"/>
  <c r="L75" i="1"/>
  <c r="M75" i="1" s="1"/>
  <c r="L72" i="1"/>
  <c r="M72" i="1" s="1"/>
  <c r="M33" i="1"/>
  <c r="M89" i="1"/>
  <c r="M88" i="1"/>
  <c r="M86" i="1"/>
  <c r="M83" i="1"/>
  <c r="M82" i="1"/>
  <c r="M80" i="1"/>
  <c r="M79" i="1"/>
  <c r="M78" i="1"/>
  <c r="M76" i="1"/>
  <c r="M74" i="1"/>
  <c r="M73" i="1"/>
  <c r="M71" i="1"/>
  <c r="M69" i="1"/>
  <c r="M68" i="1"/>
  <c r="M67" i="1"/>
  <c r="M66" i="1"/>
  <c r="M65" i="1"/>
  <c r="M64" i="1"/>
  <c r="M63" i="1"/>
  <c r="M62" i="1"/>
  <c r="M61" i="1"/>
  <c r="M60" i="1"/>
  <c r="M59" i="1"/>
  <c r="M58" i="1"/>
  <c r="M57" i="1"/>
  <c r="M56" i="1"/>
  <c r="M55" i="1"/>
  <c r="M54" i="1"/>
  <c r="M53" i="1"/>
  <c r="M52" i="1"/>
  <c r="M50" i="1"/>
  <c r="M49" i="1"/>
  <c r="M48" i="1"/>
  <c r="M47" i="1"/>
  <c r="M46" i="1"/>
  <c r="M45" i="1"/>
  <c r="M44" i="1"/>
  <c r="M43" i="1"/>
  <c r="M42" i="1"/>
  <c r="M41" i="1"/>
  <c r="M40" i="1"/>
  <c r="M39" i="1"/>
  <c r="M37" i="1"/>
  <c r="M36" i="1"/>
  <c r="M35" i="1"/>
  <c r="M34" i="1"/>
  <c r="M32" i="1"/>
  <c r="M31" i="1"/>
  <c r="M30" i="1"/>
  <c r="M29" i="1"/>
  <c r="M28" i="1"/>
  <c r="M27" i="1"/>
  <c r="M26" i="1"/>
  <c r="M25" i="1"/>
  <c r="M24" i="1"/>
  <c r="M23" i="1"/>
  <c r="M22" i="1"/>
  <c r="M21" i="1"/>
  <c r="M20" i="1"/>
  <c r="M19" i="1"/>
  <c r="M18" i="1"/>
  <c r="M17" i="1"/>
  <c r="M15" i="1"/>
  <c r="M14" i="1"/>
  <c r="M13" i="1"/>
  <c r="M12" i="1"/>
  <c r="M11" i="1"/>
  <c r="M10" i="1"/>
  <c r="M9" i="1"/>
  <c r="M8" i="1"/>
  <c r="J15" i="1"/>
  <c r="J17" i="1"/>
  <c r="J18" i="1"/>
  <c r="J19" i="1"/>
  <c r="J20" i="1"/>
  <c r="J21" i="1"/>
  <c r="J22" i="1"/>
  <c r="J23" i="1"/>
  <c r="J24" i="1"/>
  <c r="J25" i="1"/>
  <c r="J26" i="1"/>
  <c r="J27" i="1"/>
  <c r="J28" i="1"/>
  <c r="J29" i="1"/>
  <c r="J30" i="1"/>
  <c r="J31" i="1"/>
  <c r="J32" i="1"/>
  <c r="J34" i="1"/>
  <c r="J35" i="1"/>
  <c r="J36" i="1"/>
  <c r="J37"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8" i="1"/>
  <c r="J79" i="1"/>
  <c r="J80" i="1"/>
  <c r="J82" i="1"/>
  <c r="J83" i="1"/>
  <c r="J86" i="1"/>
  <c r="J87" i="1"/>
  <c r="J88" i="1"/>
  <c r="J89" i="1"/>
  <c r="J9" i="1"/>
  <c r="J10" i="1"/>
  <c r="J11" i="1"/>
  <c r="J12" i="1"/>
  <c r="J13" i="1"/>
  <c r="J14" i="1"/>
  <c r="J8" i="1"/>
  <c r="AB92" i="1" l="1"/>
  <c r="Y92" i="1"/>
  <c r="J84" i="1"/>
  <c r="U16" i="1"/>
  <c r="U90" i="1"/>
  <c r="U38" i="1"/>
  <c r="U81" i="1"/>
  <c r="R55" i="1"/>
  <c r="O75" i="1"/>
  <c r="U84" i="1"/>
  <c r="U33" i="1"/>
  <c r="M84" i="1"/>
  <c r="U77" i="1"/>
  <c r="O72" i="1"/>
  <c r="O87" i="1"/>
  <c r="P87" i="1"/>
  <c r="P75" i="1"/>
  <c r="P72" i="1"/>
  <c r="U85" i="1"/>
  <c r="P51" i="1"/>
  <c r="M51" i="1"/>
  <c r="M77" i="1" s="1"/>
  <c r="M81" i="1"/>
  <c r="M90" i="1"/>
  <c r="M85" i="1"/>
  <c r="J81" i="1"/>
  <c r="J90" i="1"/>
  <c r="J77" i="1"/>
  <c r="J38" i="1"/>
  <c r="J33" i="1"/>
  <c r="J16" i="1"/>
  <c r="U92" i="1" l="1"/>
  <c r="M92" i="1"/>
  <c r="J92" i="1"/>
  <c r="O92" i="1" l="1"/>
  <c r="O93" i="1" s="1"/>
  <c r="V92" i="1"/>
  <c r="V9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tc={ACC0129E-2874-48C5-A137-E3127B97A26C}</author>
    <author>tc={54282AC6-D1B4-4AA5-9C35-A533BE3BD227}</author>
    <author>tc={E7B0E7CF-DC11-45D2-BB96-663942FF0362}</author>
  </authors>
  <commentList>
    <comment ref="L51" authorId="0" shapeId="0" xr:uid="{ACC0129E-2874-48C5-A137-E3127B97A26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5 cm dans AO
</t>
      </text>
    </comment>
    <comment ref="L72" authorId="1" shapeId="0" xr:uid="{54282AC6-D1B4-4AA5-9C35-A533BE3BD22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Admis dosage à 50kg/m3, surface pour 40cm
Réponse :
    Attention dans tableau uniquement 2950 mais sur phasage MG 2300+4400</t>
      </text>
    </comment>
    <comment ref="M92" authorId="2" shapeId="0" xr:uid="{E7B0E7CF-DC11-45D2-BB96-663942FF036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Pdf MG 2022 -1’200’000</t>
      </text>
    </comment>
  </commentList>
</comments>
</file>

<file path=xl/sharedStrings.xml><?xml version="1.0" encoding="utf-8"?>
<sst xmlns="http://schemas.openxmlformats.org/spreadsheetml/2006/main" count="508" uniqueCount="190">
  <si>
    <t>CFC</t>
  </si>
  <si>
    <t>CAN</t>
  </si>
  <si>
    <t>Construction</t>
  </si>
  <si>
    <t>Position</t>
  </si>
  <si>
    <t>Description</t>
  </si>
  <si>
    <t>Unité</t>
  </si>
  <si>
    <t>Montant</t>
  </si>
  <si>
    <t>201</t>
  </si>
  <si>
    <t>112</t>
  </si>
  <si>
    <t>Essais</t>
  </si>
  <si>
    <t>112.101</t>
  </si>
  <si>
    <t>.101 Intervention pour réalisation d'essais de plaques (réalisation de 3 essais/prélèvement au minimum par intervention). Y compris amené, repli, déplacements et mise à disposition des équipements nécessaires à la réalisation de l'essai. gl= nombre d'intervention Conc. art. 182.004 Remarque : Prestations réalisées par ab ingénieurs sa</t>
  </si>
  <si>
    <t>gl</t>
  </si>
  <si>
    <t>112.102</t>
  </si>
  <si>
    <t>112.102 par intervention). Y compris amené, repli, déplacements et mise à disposition des équipements nécessaires à la réalisation de l'essai. gl= nombre d'intervention Conc. art.182.005 Remarque : Prestations réalisées par ab ingénieurs sa</t>
  </si>
  <si>
    <t>116.201</t>
  </si>
  <si>
    <t>.201 Conc. art 182.004 Mise à disposition pendant le temps des essais d'un engins de chantier (avec chauffeur) de minimum 12t et hauteur d'appuis entre 80 et up = h Admis 30 min par essais</t>
  </si>
  <si>
    <t>up</t>
  </si>
  <si>
    <t>116.202</t>
  </si>
  <si>
    <t>.202 Mise à disposition d'une pelle mécanique avec chauffeur pour le prélèvement de remblais en vue des essais pour la déterminations des recettes et dosage de traitement. Y compris déplacement et installation. up = h Admis 4 à 5 prélèvement sous la terre végétale. A réaliser à l'ouverture du chantier.</t>
  </si>
  <si>
    <t>151.103</t>
  </si>
  <si>
    <t>.103 Calcul des teneurs en eaux des matériaux à traiter. A réaliser en cours de chantier tous les ~800m3 la veille des traitements.</t>
  </si>
  <si>
    <t>p</t>
  </si>
  <si>
    <t>182.004</t>
  </si>
  <si>
    <t>182.004 par ab ingénieurs sa</t>
  </si>
  <si>
    <t>182.005</t>
  </si>
  <si>
    <t>.005 Essai au pénétromètre dynamique de type Panda. Pour le contrôle des épaisseurs de plateformes traités aux liants au droit des bâtiments et de qualité des remblayages de parafouille avec matériaux traités. Y compris réalisation de l'essai, et résultats. up = p Remarques : Prestations réalisées par ab ingénieurs sa</t>
  </si>
  <si>
    <t>R 182.891</t>
  </si>
  <si>
    <t>R .891 Réalisation de planche d'essai de traitement au ciment suivant le document 6427-CRlabo- protocoleTL-07.08.2026. Y compris toutes les installations associés, mains d'ouvre, machines. Surface ~50 m2</t>
  </si>
  <si>
    <t>113</t>
  </si>
  <si>
    <t>Installations de chantier</t>
  </si>
  <si>
    <t>111.002</t>
  </si>
  <si>
    <t>.002 Durée des travaux de l'entrepreneur Pour les installations de terrassement. Y compris bennes de tri Y compris couverture des bennes Y compris évacuation régulière des déchets, chargement, transport et taxes. Y compris déplacements en cours de chantier up = gl</t>
  </si>
  <si>
    <t>212.211</t>
  </si>
  <si>
    <t>.211 Tracé Rampes d'accès aux fonds de fouille pour la réalisation des terrassements et traitement. Y compris réalisation des talus. Y compris fourniture et mise en place des barrières de sécurité sur les côtés. Y compris déplacement des barrières de chantier et ajout d'un portail supplémentaire selon la position du haut de la rampe.</t>
  </si>
  <si>
    <t>214.141</t>
  </si>
  <si>
    <t>.141 Escaliers d'accès au FF Hauteur 3.5m max Y compris amenée/repli, mise à disposition pendant la durée des travaux de l'entrepreneur, déplacements, fixations au sol, enlèvement up = gl Nombre à déterminer par l'entrepreneur</t>
  </si>
  <si>
    <t>242.144</t>
  </si>
  <si>
    <t>.144 Pour garde corps en tête de talus. up = m Y compris fourniture, mise en place et enlèvement. Y compris déplacement en cours de chantier si besoin. Y compris mise à disposition pour la durée du chantier jusqu'à remblayage. Y compris fourniture et mise en place du système de fixation entre elles et au sol. Y compris garde corps aux normes selon les préconisation SUVA.</t>
  </si>
  <si>
    <t>261.131</t>
  </si>
  <si>
    <t>.131 Nettoyage des routes publiques empruntées par les camions pour assurer leur bon état Pour la durée des travaux de l'entrepreneur Admis au minimum 1x par semaine up = gl</t>
  </si>
  <si>
    <t>261.221</t>
  </si>
  <si>
    <t>.221 Arrosage des pistes pour limiter les dégagements de poussière Y compris gestion des eaux pour la durée des travaux de l'entrepreneur up = gl</t>
  </si>
  <si>
    <t>263.151</t>
  </si>
  <si>
    <t>.151 Y compris fourniture et épandage de sel Y compris gestion de la neige Pour la durée des travaux de l'entrepreneur up = gl</t>
  </si>
  <si>
    <t>311.002</t>
  </si>
  <si>
    <t>.002 Durée des travaux de l'entrepreneur up = gl Raccordement au point mis à disposition par le MO</t>
  </si>
  <si>
    <t>321.002</t>
  </si>
  <si>
    <t>321.002 Raccordement au point mis à disposition par le MO</t>
  </si>
  <si>
    <t>322.331</t>
  </si>
  <si>
    <t>.331 Durée des travaux de l'entrepreneur up = gl Y compris amenée/repli, installation, mise à disposition, entretien, déplacement, raccordement au bassin de neutralisation, curage, gestion des boues de curage, fourniture et application des agents floculants. sont gérées par l'entreprise de terrassement. Y compris les eaux souillés par les travaux spéciaux. Cet article rémunère : - la fourniture et mise en place d'un bassin de décantation - mise à disposition - raccordement, entretien avec fourniture et mise en oeuvre d'agent floculant - Mesure des MES et transmission hebdomadaire à la DT - Elimination des boues, curage du bassin de décantation (chargement, évacuation et taxes) - Déplacement des installations si nécessaire</t>
  </si>
  <si>
    <t>322.511</t>
  </si>
  <si>
    <t>.511 Equipement de régularisation du pH entre 6.5 et 9 des eaux avant rejet dans les canalisations. Toutes les eaux de la fouille sont gérées par l'entreprise de terrassement Cet article rémunère : - la fourniture et mise en place d'un bassin de neutralisation - mise à disposition - raccordement, entretien avec fourniture et mise en oeuvre de gaz carbonique - Mesure du pH et transmission hebdomadaire à la DT - Conduites et évacuation des eaux traitées vers les points d'exutoire.</t>
  </si>
  <si>
    <t>331.002</t>
  </si>
  <si>
    <t>.002 Durée des travaux de l'entrepreneur up =gl Raccordement au point mis à disposition par le MO</t>
  </si>
  <si>
    <t>412.002</t>
  </si>
  <si>
    <t>.002 Durée des travaux de l'entrepreneur Y compris raccordements aux services et EU/EC up = gl</t>
  </si>
  <si>
    <t>421.002</t>
  </si>
  <si>
    <t>551.102</t>
  </si>
  <si>
    <t>.102 Durée des travaux de l'entrepreneur up = gl Mise en place en entretien du décrotteur. Y compris gestion des eaux. Y compris purge et évacuation régulière des boues et taxes d'évacuation.</t>
  </si>
  <si>
    <t>615.401</t>
  </si>
  <si>
    <t>.401 Pour stabilisation des matériaux du site Installation de malaxage Y compris amenée/repli, installation/enlèvement, mise à disposition pour la durée des travaux de l'entrepreneur, entretien, déplacement up = gl</t>
  </si>
  <si>
    <t>161</t>
  </si>
  <si>
    <t>Epuisement des eaux</t>
  </si>
  <si>
    <t>.002 Pour la durée des travaux de l'entrepreneur. up = gl Pour la gestion des eaux du terrain lors des terrassements. Pour rappel des venues d'eau ont été observées dans les remblais.</t>
  </si>
  <si>
    <t>211.114</t>
  </si>
  <si>
    <t>211.114 flexibles et/ou rigides nécesssaires pour l'exécution du chantier dans de bonnes conditions (Y compris tout autres accessoires pour raccordement) Y compris raccordement aux puisards et bacs de traitement. Y compris entretien. Y compris deplacement dans le périmètre du chantier et mise à disposition pour toute la durée des travaux de l'entrepreneur. Y compris passerelles pour tuyaux, passages sous obstacles et similaires. Nombre et type de pompes selon proposition de l'entrepreneur. p= GLOBAL Pour rappel, surface de fond de fouille env. 11'000m2</t>
  </si>
  <si>
    <t>215.124</t>
  </si>
  <si>
    <t>.124 Débit de pompage l/min jusqu'à 600 Fonctionnement des pompes. Y compris frais de consommables de fonctionnement et d'électricité. Y compris surveillance durant l'horaire de travail normal et en dehors (jours fériés, vacances). Métré : heures de pompage pour l'installation global</t>
  </si>
  <si>
    <t>h</t>
  </si>
  <si>
    <t>241.201</t>
  </si>
  <si>
    <t>241.201 de chantier, enlèvement en fin de chantier, transport, mise en décharge appropriée, taxes. (évacuation et taxes des déblais compris dans les fouilles pleine masse)</t>
  </si>
  <si>
    <t>211</t>
  </si>
  <si>
    <t>Fouilles et terrassements</t>
  </si>
  <si>
    <t>111.113</t>
  </si>
  <si>
    <t>111.113 Y compris travaux à la main. Y compris toutes pistes nécessaires au décapage des matériaux terreux pour se conformer aux préconisations de protection des matériaux terreux.</t>
  </si>
  <si>
    <t>m3</t>
  </si>
  <si>
    <t>115.113</t>
  </si>
  <si>
    <t>.113 Epaisseur de couche m 0.3 m sur la zone non exploitée de la carrière. Horizon B Y compris travaux à la main. Y compris toutes pistes nécessaires au décapage des matériaux terreux pour se conformer aux préconisations de protection des matériaux terreux.</t>
  </si>
  <si>
    <t>211.104</t>
  </si>
  <si>
    <t>.104 Profondeur d'excavation m jusqu'à 2.5 Excavation dans des matériaux gravelo-sableux (bâtiment biogaz) Y compris travaux à la main</t>
  </si>
  <si>
    <t>211.105</t>
  </si>
  <si>
    <t>.105 Profondeur d'excavation m jusqu'à 2.5 Excavation dans les remblais jusqu'au FF. Y compris travaux à la main, y compris le trie des matériaux pour les mises en décharge.</t>
  </si>
  <si>
    <t>215.004</t>
  </si>
  <si>
    <t>R 215.001</t>
  </si>
  <si>
    <t>R .001 Dégrapage de l'enrobé. Y compris découpe et déconstruction des bordures de trottoir. Admis épaisseur de 13 cm sur toute la surface Y compris tous transports intermédiaires, mises en dépôts intermédiaires et chargements</t>
  </si>
  <si>
    <t>R 215.002</t>
  </si>
  <si>
    <t>R .002 Dégrapage du coffre en grave sous enrobé et mise en stock. Y compris tous déplacements et chargements intermédiaires jusqu'à la zone de stockage. Admis épaisseur 17 cm sur toute la surface</t>
  </si>
  <si>
    <t>251.213</t>
  </si>
  <si>
    <t>.213 Fragmentation et enlèvement avec les matériaux d'excavation.</t>
  </si>
  <si>
    <t>253.102</t>
  </si>
  <si>
    <t>.102 Profondeur de fouille m 2.5 Plus value pour terrassement des 0,3 derniers m en fond de fouille. Pour le bâtiment biogaz en déblais.</t>
  </si>
  <si>
    <t>253.201</t>
  </si>
  <si>
    <t>.201 Horizontal ou avec inclinaison jusqu'à 1:4.</t>
  </si>
  <si>
    <t>m2</t>
  </si>
  <si>
    <t>253.301</t>
  </si>
  <si>
    <t>.301 Supplément pour l'excavation des surprofondeurs des poteaux dans la plateforme de sol traité aux liants. Profondeur de fouille m 0.4 Inclinaison verticale des talus up = m3 Y compris toutes difficultés de creuse dans les matériaux traités.</t>
  </si>
  <si>
    <t>281.111</t>
  </si>
  <si>
    <t>.111 FOURNITURE et mise en place de graves stabilitées au ciment (60kg/m3) pour les purges et substitutions. Conc. art. 215.004 Y compris fourniture en petites quantités, y compris remise en place immédiatement après la creuse et compactage.</t>
  </si>
  <si>
    <t>284.212</t>
  </si>
  <si>
    <t>.212 Epaisseur de couche m 10 cm Y compris mise en place par petites quantités Y compris tout transport intermédiaire Y compris tout travaux à la main Y compris pour réalisation en deux phases Béton de propreté avec granulats recyclés Y compris talochage soigné et lissage du béton maigre pour réception de l'étanchéité (cuve jaune)</t>
  </si>
  <si>
    <t>285.304</t>
  </si>
  <si>
    <t>321.201</t>
  </si>
  <si>
    <t>.201 Feuille PE pour la protection des talus.</t>
  </si>
  <si>
    <t>327.114</t>
  </si>
  <si>
    <t>.114 Purge du pied de talus en cas d'instabilité up = m3 Y compris chargements, transports et taxes (décharge de type B)</t>
  </si>
  <si>
    <t>327.231</t>
  </si>
  <si>
    <t>.231 Fourniture et mise en place d'un coffrage hauteur 1.5 m. Y compris fixation dans le sol. Y compris fourniture du béton, transport à pied d'oeuvre, coupes pose, étayage, démontage, évacuations et toutes taxes</t>
  </si>
  <si>
    <t>327.314</t>
  </si>
  <si>
    <t>.314 Fourniture et mise en place de béton caverneux pour le blocage des pieds de talus.</t>
  </si>
  <si>
    <t>611.001</t>
  </si>
  <si>
    <t>.001 Fonction de séparation. Feuille plastique A disposer sous le béton maigre. L'entrepreneur doit inclure les recouvrements dans son prix unitaire.</t>
  </si>
  <si>
    <t>651.113</t>
  </si>
  <si>
    <t>.113 Remblayage pour les fondations des bâtiments dans la zone non exploitée de la carrière. Avec les matériaux gravelo- sableux stockés. Conc. art. 761.111 Y compris mise en place par petites quantités, y compris travaux à la main.</t>
  </si>
  <si>
    <t>651.114</t>
  </si>
  <si>
    <t>.114 Remblayage des parafouilles. Avec les matériaux de remblais traités aux liants et stockés. Conc. art. 761.112 Y compris mise en place par petites quantités Y compris travaux à la main</t>
  </si>
  <si>
    <t>652.104</t>
  </si>
  <si>
    <t>.104 Engin laissé au choix de l'entrepreneur Conc. art. 651.113 et 761.111 Module de déformation M_E1 MN/m2 120 Compactage par couche de 0,3 m.</t>
  </si>
  <si>
    <t>652.105</t>
  </si>
  <si>
    <t>.105 Engin laissé au choix de l'entrepreneur Conc. art. 651.114 et 761.112 Compactage par couche de 0,3 m. Y compris travaux à la main</t>
  </si>
  <si>
    <t>711.211</t>
  </si>
  <si>
    <t>.211 Terre végétale. Emplacement du dépôt laissé au choix de l'entrepreneur</t>
  </si>
  <si>
    <t>711.212</t>
  </si>
  <si>
    <t>.212 Matériaux terreux. Emplacement du dépôt laissé au choix de l'entrepreneur</t>
  </si>
  <si>
    <t>711.213</t>
  </si>
  <si>
    <t>.213 Matériaux d'excavation. Emplacement du dépôt laissé au choix de l'entrepreneur.</t>
  </si>
  <si>
    <t>711.216</t>
  </si>
  <si>
    <t>.216 Matériaux traités aux liants + remblais évolutifs Conc. art. 215.004 et 253.301 Pour évacuation en décharge de type B</t>
  </si>
  <si>
    <t>731.216</t>
  </si>
  <si>
    <t>.216 Enrobés Conc. art. R 219.001 Emplacement du dépôt pour décharge contrôlée type B selon OLED Enrobé bitumineux compacté et asphalte coulé (sans fraisat). Teneur en HAP jusqu'à mg/kg 250</t>
  </si>
  <si>
    <t>t</t>
  </si>
  <si>
    <t>751.113</t>
  </si>
  <si>
    <t>751.113 Pour décharge de type A (cahier de prix des plus value liées à la pollution des remblais à part)</t>
  </si>
  <si>
    <t>751.116</t>
  </si>
  <si>
    <t>.116 Conc. art. 711.216 Pour décharge de type B</t>
  </si>
  <si>
    <t>751.136</t>
  </si>
  <si>
    <t>.136 Enrobé bitumineux compacté et asphalte coulé (sans fraisat). pour décharge contrôlée type B selon OLED. Teneur en HAP jusqu'à mg/kg 250. Y compris évacuation et taxe par petite quantité Conc. art. 731.216</t>
  </si>
  <si>
    <t>761.111</t>
  </si>
  <si>
    <t>.111 Mise en stock des matériaux d'excavations gravelo-sableux issue des terrassements, des terrassements pour les canalisations et du coffre en grave sous l'enrobé. Y compris tous chargements et transports intermédiaires. Conc. art. 211.104, R 219.002 Hauteur de stockage non limité.</t>
  </si>
  <si>
    <t>761.112</t>
  </si>
  <si>
    <t>.112 Mise en stock des matériaux de remblais pour traitement aux liants Y compris deuxième mise en dépot après malaxage des matériaux avec liant Y compris bâchage des stocks (fourniture, fixation, entretien, déplacement, enlèvement). Y compris tous chargements et transports intermédiaires. Hauteur de stockage non limité.</t>
  </si>
  <si>
    <t>812.303</t>
  </si>
  <si>
    <t>.303 Mode de fourniture selon proposition de l'entreprise.</t>
  </si>
  <si>
    <t>813.004</t>
  </si>
  <si>
    <t>.004 Epaisseur de couche m jusqu'à 50 Réalisation de la partie inférieure du traitement de sol en place. Epandage, humidification et malaxage en place, y compris compactage. Métré: volume THÉORIQUE Le prix unitaire doit tenir compte des adaptations de planning liées à la météo (pas de traitement sous la pluie).</t>
  </si>
  <si>
    <t>813.005</t>
  </si>
  <si>
    <t>.005 Epaisseur de couche m de 0,5 à 1 m Réalisation de la partie supérieure du traitement de sol. Excavation, mise en stock provisoire, épandage, humidification, malaxage, remise en place et compactage. Métré: volume THÉORIQUE Le prix unitaire doit tenir compte des adaptations de planning liées à la météo (pas de traitement sous la pluie).</t>
  </si>
  <si>
    <t>813.006</t>
  </si>
  <si>
    <t>.006 Sur les matériaux de remblais peu pollués issus des excavations et mis en stock provisoire. Dans le but de réutiliser les matériaux stabilisés en remblayage de parafouilles. Conc. art 211.105 et 761.112 Métré: volume THÉORIQUE Epandage, humidification, malaxage. Y compris amené repli de l'installation une fois les murs des sous-sol réalisés. Le prix unitaire doit tenir compte des adaptations de planning liées à la météo (pas de traitement sous la pluie).</t>
  </si>
  <si>
    <t>814.003</t>
  </si>
  <si>
    <t>814.003 Sur remblais en matériaux traitées aux liants, y compris le cylindrage, réglage y compris la réalisation des pentes.</t>
  </si>
  <si>
    <t>4</t>
  </si>
  <si>
    <t>813.004 Epandage, humidification et malaxage en place, y compris compactage. Métré: volume THÉORIQUE Le prix unitaire doit tenir compte des adaptations de planning liées à la météo (pas de traitement sous la pluie).</t>
  </si>
  <si>
    <t>PU</t>
  </si>
  <si>
    <t xml:space="preserve">Quantité </t>
  </si>
  <si>
    <t>CFC 201 CAN 112 Essais</t>
  </si>
  <si>
    <t>Total</t>
  </si>
  <si>
    <t>CFC 201 CAN 113 Installation de chantier</t>
  </si>
  <si>
    <t>CFC 201 CAN 16 Epuisement des eaux</t>
  </si>
  <si>
    <t>CFC 201 CAN 211 Fouilles et terrassements</t>
  </si>
  <si>
    <t>CFC 4 CAN 211 Fouilles et terrassements</t>
  </si>
  <si>
    <t>CFC 4 CAN 113 Installation de chantier</t>
  </si>
  <si>
    <t>CFC 4 CAN 112 Essais</t>
  </si>
  <si>
    <t xml:space="preserve">Total </t>
  </si>
  <si>
    <t>Projet 2022</t>
  </si>
  <si>
    <t>215.004 Purge substitutions potentiel de remblais Y compris travaux à la main. Profondeur d'excavation jusqu'a 2m depuis le a plateforme de traitement de sol. up = m3 Il est rappelée que ces puits seront creusés depuis une plateforme réalisée en remblais (remblayage sur terrain naturel décapé pour mise à niveau au FF)</t>
  </si>
  <si>
    <t>285.304 béton négatif Avec gravillon pour béton Y compris coffrage et mise en place par petites quantités Y compris tout transport intermédiaire Y compris tout travaux à la main Béton de propreté avec granulats recyclés Surface de coffrage : ~247 m2</t>
  </si>
  <si>
    <t>Terrassement des aménagement extrérieur</t>
  </si>
  <si>
    <t>Delta</t>
  </si>
  <si>
    <t>%</t>
  </si>
  <si>
    <t>Commentaires</t>
  </si>
  <si>
    <t>hors pollution</t>
  </si>
  <si>
    <t>yc pollution</t>
  </si>
  <si>
    <t>Pour sécurité des talus, on peut supprimer si coùt accepté par l'entreprise</t>
  </si>
  <si>
    <t>Dans soum de dépolution en théorie</t>
  </si>
  <si>
    <t>Si ok maçon, on peut le supprimer partout. Ou suppression uniquement au droit du traitement, il restera 337+815= 1'152, gain de 215'527 chf</t>
  </si>
  <si>
    <t xml:space="preserve">Projet 2026 ab optimisation </t>
  </si>
  <si>
    <t>9a revendu en 2022, réutilisé sur site 2026</t>
  </si>
  <si>
    <t>Réf. :</t>
  </si>
  <si>
    <t>Projet</t>
  </si>
  <si>
    <t>Lieu</t>
  </si>
  <si>
    <t>Pôle Bio</t>
  </si>
  <si>
    <t>Satigny (GE)</t>
  </si>
  <si>
    <t xml:space="preserve"> Comparaision des devis internes ab ingénieurs sa
Sur la base de la soumission complète PU issue des PU moyen du secteur</t>
  </si>
  <si>
    <t>Matériaux pollués, si on admet que la PV pour l'évacuation en décharge de type B est de 80chf/m3 (3970m3 de typa A dans tableau de Chloé projet 2026 évacua quasiment que du A) :</t>
  </si>
  <si>
    <t>Comparatif des quantités</t>
  </si>
  <si>
    <t>Aménagement extérieurs plus haut dans le projet 2026 -&gt; plus de remblayage 
PF3 imposée par client</t>
  </si>
  <si>
    <t>Orllati</t>
  </si>
  <si>
    <t>Projet 2026 - DG absa</t>
  </si>
  <si>
    <t>Implemia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</si>
</sst>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CHF&quot;_-;\-* #,##0.00\ &quot;CHF&quot;_-;_-* &quot;-&quot;??\ &quot;CHF&quot;_-;_-@_-"/>
    <numFmt numFmtId="43" formatCode="_-* #,##0.00_-;\-* #,##0.00_-;_-* &quot;-&quot;??_-;_-@_-"/>
  </numFmts>
  <fonts count="15"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b/>
      <sz val="11"/>
      <name val="Calibri"/>
      <family val="2"/>
    </font>
    <font>
      <sz val="11"/>
      <color rgb="FF7030A0"/>
      <name val="Calibri"/>
      <family val="2"/>
      <scheme val="minor"/>
    </font>
    <font>
      <sz val="11"/>
      <color theme="7" tint="0.39997558519241921"/>
      <name val="Calibri"/>
      <family val="2"/>
      <scheme val="minor"/>
    </font>
    <font>
      <sz val="11"/>
      <color theme="9"/>
      <name val="Calibri"/>
      <family val="2"/>
      <scheme val="minor"/>
    </font>
    <font>
      <sz val="11"/>
      <name val="Calibri"/>
      <family val="2"/>
      <scheme val="minor"/>
    </font>
    <font>
      <sz val="10"/>
      <name val="Arial"/>
      <family val="2"/>
    </font>
    <font>
      <sz val="10"/>
      <name val="MS Sans Serif"/>
    </font>
    <font>
      <b/>
      <sz val="18"/>
      <color theme="0"/>
      <name val="Calibri"/>
      <family val="2"/>
      <scheme val="minor"/>
    </font>
    <font>
      <b/>
      <sz val="14"/>
      <color theme="1"/>
      <name val="Arial"/>
      <family val="2"/>
    </font>
    <font>
      <b/>
      <sz val="10"/>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rgb="FFBFE290"/>
        <bgColor indexed="64"/>
      </patternFill>
    </fill>
    <fill>
      <patternFill patternType="solid">
        <fgColor theme="2" tint="-0.249977111117893"/>
        <bgColor indexed="64"/>
      </patternFill>
    </fill>
    <fill>
      <patternFill patternType="solid">
        <fgColor rgb="FFADADAD"/>
        <bgColor indexed="64"/>
      </patternFill>
    </fill>
    <fill>
      <patternFill patternType="solid">
        <fgColor rgb="FFBFE292"/>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style="thin">
        <color auto="1"/>
      </right>
      <top style="dotted">
        <color auto="1"/>
      </top>
      <bottom style="dotted">
        <color auto="1"/>
      </bottom>
      <diagonal/>
    </border>
    <border>
      <left style="thin">
        <color auto="1"/>
      </left>
      <right style="dotted">
        <color auto="1"/>
      </right>
      <top style="dotted">
        <color auto="1"/>
      </top>
      <bottom style="thin">
        <color auto="1"/>
      </bottom>
      <diagonal/>
    </border>
    <border>
      <left style="dotted">
        <color auto="1"/>
      </left>
      <right style="dotted">
        <color auto="1"/>
      </right>
      <top style="dotted">
        <color auto="1"/>
      </top>
      <bottom style="thin">
        <color auto="1"/>
      </bottom>
      <diagonal/>
    </border>
    <border>
      <left style="dotted">
        <color auto="1"/>
      </left>
      <right style="thin">
        <color auto="1"/>
      </right>
      <top style="dotted">
        <color auto="1"/>
      </top>
      <bottom style="thin">
        <color auto="1"/>
      </bottom>
      <diagonal/>
    </border>
    <border>
      <left/>
      <right/>
      <top style="thin">
        <color indexed="64"/>
      </top>
      <bottom/>
      <diagonal/>
    </border>
    <border>
      <left style="thin">
        <color auto="1"/>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thin">
        <color auto="1"/>
      </right>
      <top style="dotted">
        <color auto="1"/>
      </top>
      <bottom/>
      <diagonal/>
    </border>
    <border>
      <left style="thin">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thin">
        <color auto="1"/>
      </right>
      <top/>
      <bottom style="dotted">
        <color auto="1"/>
      </bottom>
      <diagonal/>
    </border>
    <border>
      <left style="thin">
        <color indexed="64"/>
      </left>
      <right style="dotted">
        <color auto="1"/>
      </right>
      <top style="thin">
        <color indexed="64"/>
      </top>
      <bottom style="thin">
        <color indexed="64"/>
      </bottom>
      <diagonal/>
    </border>
    <border>
      <left style="dotted">
        <color auto="1"/>
      </left>
      <right style="dotted">
        <color auto="1"/>
      </right>
      <top style="thin">
        <color indexed="64"/>
      </top>
      <bottom style="thin">
        <color indexed="64"/>
      </bottom>
      <diagonal/>
    </border>
    <border>
      <left style="dotted">
        <color auto="1"/>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uble">
        <color indexed="64"/>
      </bottom>
      <diagonal/>
    </border>
    <border>
      <left style="dotted">
        <color auto="1"/>
      </left>
      <right/>
      <top style="thin">
        <color indexed="64"/>
      </top>
      <bottom style="thin">
        <color indexed="64"/>
      </bottom>
      <diagonal/>
    </border>
    <border>
      <left style="thin">
        <color indexed="64"/>
      </left>
      <right/>
      <top/>
      <bottom/>
      <diagonal/>
    </border>
    <border>
      <left style="thin">
        <color auto="1"/>
      </left>
      <right style="thin">
        <color auto="1"/>
      </right>
      <top/>
      <bottom style="thin">
        <color auto="1"/>
      </bottom>
      <diagonal/>
    </border>
    <border>
      <left style="thin">
        <color indexed="64"/>
      </left>
      <right style="thin">
        <color indexed="64"/>
      </right>
      <top/>
      <bottom/>
      <diagonal/>
    </border>
    <border>
      <left style="thin">
        <color indexed="64"/>
      </left>
      <right style="thin">
        <color auto="1"/>
      </right>
      <top style="thin">
        <color indexed="64"/>
      </top>
      <bottom style="dotted">
        <color indexed="64"/>
      </bottom>
      <diagonal/>
    </border>
    <border>
      <left style="thin">
        <color indexed="64"/>
      </left>
      <right style="thin">
        <color auto="1"/>
      </right>
      <top style="dotted">
        <color indexed="64"/>
      </top>
      <bottom style="dotted">
        <color indexed="64"/>
      </bottom>
      <diagonal/>
    </border>
    <border>
      <left style="thin">
        <color indexed="64"/>
      </left>
      <right style="thin">
        <color auto="1"/>
      </right>
      <top style="dotted">
        <color indexed="64"/>
      </top>
      <bottom style="thin">
        <color auto="1"/>
      </bottom>
      <diagonal/>
    </border>
    <border>
      <left/>
      <right style="dotted">
        <color auto="1"/>
      </right>
      <top style="thin">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right style="dotted">
        <color auto="1"/>
      </right>
      <top/>
      <bottom style="dotted">
        <color auto="1"/>
      </bottom>
      <diagonal/>
    </border>
    <border>
      <left/>
      <right style="dotted">
        <color auto="1"/>
      </right>
      <top style="dotted">
        <color auto="1"/>
      </top>
      <bottom style="thin">
        <color auto="1"/>
      </bottom>
      <diagonal/>
    </border>
  </borders>
  <cellStyleXfs count="6">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9" fillId="0" borderId="0"/>
    <xf numFmtId="0" fontId="10" fillId="0" borderId="0"/>
  </cellStyleXfs>
  <cellXfs count="100">
    <xf numFmtId="0" fontId="0" fillId="0" borderId="0" xfId="0"/>
    <xf numFmtId="4" fontId="0" fillId="0" borderId="0" xfId="0" applyNumberFormat="1"/>
    <xf numFmtId="0" fontId="0" fillId="0" borderId="0" xfId="0" applyAlignment="1">
      <alignment horizontal="center" vertical="center"/>
    </xf>
    <xf numFmtId="0" fontId="0" fillId="0" borderId="2" xfId="0" applyBorder="1"/>
    <xf numFmtId="0" fontId="0" fillId="0" borderId="3" xfId="0" applyBorder="1"/>
    <xf numFmtId="0" fontId="0" fillId="0" borderId="3" xfId="0" applyBorder="1" applyAlignment="1">
      <alignment vertical="top" wrapText="1"/>
    </xf>
    <xf numFmtId="4" fontId="0" fillId="0" borderId="4" xfId="0" applyNumberFormat="1" applyBorder="1" applyAlignment="1">
      <alignment horizontal="center" vertical="center"/>
    </xf>
    <xf numFmtId="0" fontId="0" fillId="0" borderId="5" xfId="0" applyBorder="1"/>
    <xf numFmtId="0" fontId="0" fillId="0" borderId="6" xfId="0" applyBorder="1"/>
    <xf numFmtId="0" fontId="0" fillId="0" borderId="6" xfId="0" applyBorder="1" applyAlignment="1">
      <alignment vertical="top" wrapText="1"/>
    </xf>
    <xf numFmtId="4" fontId="0" fillId="0" borderId="7" xfId="0" applyNumberFormat="1" applyBorder="1" applyAlignment="1">
      <alignment horizontal="center" vertical="center"/>
    </xf>
    <xf numFmtId="0" fontId="0" fillId="0" borderId="8" xfId="0" applyBorder="1"/>
    <xf numFmtId="0" fontId="0" fillId="0" borderId="9" xfId="0" applyBorder="1"/>
    <xf numFmtId="0" fontId="0" fillId="0" borderId="9" xfId="0" applyBorder="1" applyAlignment="1">
      <alignment vertical="top" wrapText="1"/>
    </xf>
    <xf numFmtId="4" fontId="0" fillId="0" borderId="10" xfId="0" applyNumberFormat="1" applyBorder="1" applyAlignment="1">
      <alignment horizontal="center" vertical="center"/>
    </xf>
    <xf numFmtId="0" fontId="0" fillId="0" borderId="4" xfId="0" applyBorder="1" applyAlignment="1">
      <alignment horizontal="center" vertical="center"/>
    </xf>
    <xf numFmtId="0" fontId="0" fillId="0" borderId="7" xfId="0" applyBorder="1" applyAlignment="1">
      <alignment horizontal="center" vertical="center"/>
    </xf>
    <xf numFmtId="0" fontId="0" fillId="0" borderId="10" xfId="0" applyBorder="1" applyAlignment="1">
      <alignment horizontal="center" vertical="center"/>
    </xf>
    <xf numFmtId="4" fontId="0" fillId="0" borderId="2" xfId="0" applyNumberFormat="1" applyBorder="1" applyAlignment="1">
      <alignment horizontal="center" vertical="center"/>
    </xf>
    <xf numFmtId="4" fontId="0" fillId="0" borderId="5" xfId="0" applyNumberFormat="1" applyBorder="1" applyAlignment="1">
      <alignment horizontal="center" vertical="center"/>
    </xf>
    <xf numFmtId="4" fontId="0" fillId="0" borderId="8" xfId="0" applyNumberFormat="1" applyBorder="1" applyAlignment="1">
      <alignment horizontal="center" vertical="center"/>
    </xf>
    <xf numFmtId="0" fontId="0" fillId="0" borderId="12" xfId="0" applyBorder="1"/>
    <xf numFmtId="0" fontId="0" fillId="0" borderId="13" xfId="0" applyBorder="1"/>
    <xf numFmtId="0" fontId="0" fillId="0" borderId="13" xfId="0" applyBorder="1" applyAlignment="1">
      <alignment vertical="top" wrapText="1"/>
    </xf>
    <xf numFmtId="0" fontId="0" fillId="0" borderId="14" xfId="0" applyBorder="1" applyAlignment="1">
      <alignment horizontal="center" vertical="center"/>
    </xf>
    <xf numFmtId="0" fontId="0" fillId="0" borderId="15" xfId="0" applyBorder="1"/>
    <xf numFmtId="0" fontId="0" fillId="0" borderId="16" xfId="0" applyBorder="1"/>
    <xf numFmtId="0" fontId="0" fillId="0" borderId="16" xfId="0" applyBorder="1" applyAlignment="1">
      <alignment vertical="top" wrapText="1"/>
    </xf>
    <xf numFmtId="0" fontId="0" fillId="0" borderId="17" xfId="0" applyBorder="1" applyAlignment="1">
      <alignment horizontal="center" vertical="center"/>
    </xf>
    <xf numFmtId="4" fontId="0" fillId="0" borderId="12" xfId="0" applyNumberFormat="1" applyBorder="1" applyAlignment="1">
      <alignment horizontal="center" vertical="center"/>
    </xf>
    <xf numFmtId="4" fontId="0" fillId="0" borderId="14" xfId="0" applyNumberFormat="1" applyBorder="1" applyAlignment="1">
      <alignment horizontal="center" vertical="center"/>
    </xf>
    <xf numFmtId="4" fontId="0" fillId="0" borderId="15" xfId="0" applyNumberFormat="1" applyBorder="1" applyAlignment="1">
      <alignment horizontal="center" vertical="center"/>
    </xf>
    <xf numFmtId="4" fontId="0" fillId="0" borderId="17" xfId="0" applyNumberFormat="1" applyBorder="1" applyAlignment="1">
      <alignment horizontal="center" vertical="center"/>
    </xf>
    <xf numFmtId="0" fontId="0" fillId="2" borderId="21" xfId="0" applyFill="1" applyBorder="1"/>
    <xf numFmtId="0" fontId="0" fillId="2" borderId="22" xfId="0" applyFill="1" applyBorder="1"/>
    <xf numFmtId="4" fontId="0" fillId="2" borderId="22" xfId="0" applyNumberFormat="1" applyFill="1" applyBorder="1" applyAlignment="1">
      <alignment horizontal="center" vertical="center"/>
    </xf>
    <xf numFmtId="4" fontId="0" fillId="2" borderId="21" xfId="0" applyNumberFormat="1" applyFill="1" applyBorder="1" applyAlignment="1">
      <alignment horizontal="center" vertical="center"/>
    </xf>
    <xf numFmtId="4" fontId="3" fillId="2" borderId="23" xfId="0" applyNumberFormat="1" applyFont="1" applyFill="1" applyBorder="1" applyAlignment="1">
      <alignment horizontal="center" vertical="top"/>
    </xf>
    <xf numFmtId="0" fontId="3" fillId="2" borderId="23" xfId="0" applyFont="1" applyFill="1" applyBorder="1" applyAlignment="1">
      <alignment horizontal="center" vertical="top"/>
    </xf>
    <xf numFmtId="0" fontId="3" fillId="2" borderId="22" xfId="0" applyFont="1" applyFill="1" applyBorder="1" applyAlignment="1">
      <alignment horizontal="right" vertical="top" wrapText="1"/>
    </xf>
    <xf numFmtId="0" fontId="3" fillId="0" borderId="0" xfId="0" applyFont="1" applyAlignment="1">
      <alignment horizontal="center" vertical="center"/>
    </xf>
    <xf numFmtId="0" fontId="3" fillId="0" borderId="0" xfId="0" applyFont="1"/>
    <xf numFmtId="4" fontId="0" fillId="0" borderId="24" xfId="0" applyNumberFormat="1" applyBorder="1"/>
    <xf numFmtId="0" fontId="1" fillId="2" borderId="18" xfId="0" applyFont="1" applyFill="1" applyBorder="1" applyAlignment="1">
      <alignment vertical="center" wrapText="1"/>
    </xf>
    <xf numFmtId="0" fontId="1" fillId="2" borderId="19" xfId="0" applyFont="1" applyFill="1" applyBorder="1" applyAlignment="1">
      <alignment vertical="center" wrapText="1"/>
    </xf>
    <xf numFmtId="0" fontId="1" fillId="2" borderId="22" xfId="0" applyFont="1" applyFill="1" applyBorder="1" applyAlignment="1">
      <alignment vertical="center" wrapText="1"/>
    </xf>
    <xf numFmtId="0" fontId="0" fillId="0" borderId="26" xfId="0" applyBorder="1"/>
    <xf numFmtId="0" fontId="1" fillId="0" borderId="27" xfId="0" applyFont="1" applyBorder="1" applyAlignment="1">
      <alignment vertical="center" wrapText="1"/>
    </xf>
    <xf numFmtId="0" fontId="1" fillId="2" borderId="25"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4" fillId="2" borderId="1" xfId="0" applyFont="1" applyFill="1" applyBorder="1" applyAlignment="1">
      <alignment horizontal="center" vertical="center" wrapText="1"/>
    </xf>
    <xf numFmtId="43" fontId="0" fillId="0" borderId="4" xfId="1" applyFont="1" applyBorder="1" applyAlignment="1">
      <alignment horizontal="center" vertical="center"/>
    </xf>
    <xf numFmtId="4" fontId="0" fillId="0" borderId="11" xfId="0" applyNumberFormat="1" applyBorder="1"/>
    <xf numFmtId="0" fontId="1" fillId="2" borderId="21" xfId="0" applyFont="1" applyFill="1" applyBorder="1" applyAlignment="1">
      <alignment horizontal="center" vertical="center" wrapText="1"/>
    </xf>
    <xf numFmtId="0" fontId="4" fillId="2" borderId="21"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18" xfId="0" applyFont="1" applyFill="1" applyBorder="1" applyAlignment="1">
      <alignment horizontal="center" vertical="center" wrapText="1"/>
    </xf>
    <xf numFmtId="9" fontId="0" fillId="0" borderId="7" xfId="3" applyFont="1" applyBorder="1" applyAlignment="1">
      <alignment horizontal="center" vertical="center"/>
    </xf>
    <xf numFmtId="0" fontId="0" fillId="0" borderId="0" xfId="0" applyAlignment="1">
      <alignment wrapText="1"/>
    </xf>
    <xf numFmtId="4" fontId="0" fillId="0" borderId="29" xfId="0" applyNumberFormat="1" applyBorder="1" applyAlignment="1">
      <alignment wrapText="1"/>
    </xf>
    <xf numFmtId="4" fontId="0" fillId="0" borderId="30" xfId="0" applyNumberFormat="1" applyBorder="1" applyAlignment="1">
      <alignment wrapText="1"/>
    </xf>
    <xf numFmtId="4" fontId="0" fillId="0" borderId="31" xfId="0" applyNumberFormat="1" applyBorder="1" applyAlignment="1">
      <alignment wrapText="1"/>
    </xf>
    <xf numFmtId="4" fontId="5" fillId="0" borderId="30" xfId="0" applyNumberFormat="1" applyFont="1" applyBorder="1" applyAlignment="1">
      <alignment wrapText="1"/>
    </xf>
    <xf numFmtId="4" fontId="5" fillId="0" borderId="5" xfId="0" applyNumberFormat="1" applyFont="1" applyBorder="1" applyAlignment="1">
      <alignment horizontal="center" vertical="center"/>
    </xf>
    <xf numFmtId="4" fontId="5" fillId="0" borderId="30" xfId="0" applyNumberFormat="1" applyFont="1" applyBorder="1" applyAlignment="1">
      <alignment horizontal="right" wrapText="1"/>
    </xf>
    <xf numFmtId="4" fontId="6" fillId="0" borderId="30" xfId="0" applyNumberFormat="1" applyFont="1" applyBorder="1" applyAlignment="1">
      <alignment wrapText="1"/>
    </xf>
    <xf numFmtId="4" fontId="6" fillId="0" borderId="5" xfId="0" applyNumberFormat="1" applyFont="1" applyBorder="1" applyAlignment="1">
      <alignment horizontal="center" vertical="center"/>
    </xf>
    <xf numFmtId="4" fontId="7" fillId="0" borderId="30" xfId="0" applyNumberFormat="1" applyFont="1" applyBorder="1" applyAlignment="1">
      <alignment wrapText="1"/>
    </xf>
    <xf numFmtId="4" fontId="7" fillId="0" borderId="5" xfId="0" applyNumberFormat="1" applyFont="1" applyBorder="1" applyAlignment="1">
      <alignment horizontal="center" vertical="center"/>
    </xf>
    <xf numFmtId="4" fontId="8" fillId="0" borderId="7" xfId="0" applyNumberFormat="1" applyFont="1" applyBorder="1" applyAlignment="1">
      <alignment horizontal="center" vertical="center"/>
    </xf>
    <xf numFmtId="4" fontId="8" fillId="0" borderId="5" xfId="0" applyNumberFormat="1" applyFont="1" applyBorder="1" applyAlignment="1">
      <alignment horizontal="center" vertical="center"/>
    </xf>
    <xf numFmtId="4" fontId="7" fillId="0" borderId="7" xfId="0" applyNumberFormat="1" applyFont="1" applyBorder="1" applyAlignment="1">
      <alignment horizontal="center" vertical="center"/>
    </xf>
    <xf numFmtId="0" fontId="0" fillId="0" borderId="28" xfId="0" applyBorder="1"/>
    <xf numFmtId="0" fontId="9" fillId="4" borderId="11" xfId="4" applyFill="1" applyBorder="1" applyAlignment="1">
      <alignment vertical="center"/>
    </xf>
    <xf numFmtId="0" fontId="12" fillId="6" borderId="0" xfId="4" applyFont="1" applyFill="1" applyAlignment="1">
      <alignment horizontal="right" vertical="center" wrapText="1" indent="2"/>
    </xf>
    <xf numFmtId="0" fontId="12" fillId="0" borderId="0" xfId="4" applyFont="1" applyAlignment="1">
      <alignment vertical="center" wrapText="1"/>
    </xf>
    <xf numFmtId="0" fontId="9" fillId="0" borderId="0" xfId="4" applyAlignment="1">
      <alignment horizontal="center" vertical="center"/>
    </xf>
    <xf numFmtId="0" fontId="9" fillId="4" borderId="0" xfId="4" applyFill="1" applyAlignment="1">
      <alignment vertical="center"/>
    </xf>
    <xf numFmtId="0" fontId="9" fillId="6" borderId="0" xfId="4" applyFill="1" applyAlignment="1">
      <alignment vertical="center"/>
    </xf>
    <xf numFmtId="0" fontId="12" fillId="6" borderId="0" xfId="4" applyFont="1" applyFill="1" applyAlignment="1">
      <alignment horizontal="left" vertical="center" wrapText="1" indent="2"/>
    </xf>
    <xf numFmtId="0" fontId="12" fillId="6" borderId="0" xfId="4" applyFont="1" applyFill="1" applyAlignment="1">
      <alignment vertical="center" wrapText="1"/>
    </xf>
    <xf numFmtId="0" fontId="12" fillId="6" borderId="0" xfId="4" applyFont="1" applyFill="1" applyAlignment="1">
      <alignment horizontal="right" vertical="center" indent="2"/>
    </xf>
    <xf numFmtId="4" fontId="0" fillId="0" borderId="30" xfId="0" applyNumberFormat="1" applyBorder="1" applyAlignment="1">
      <alignment vertical="center" wrapText="1"/>
    </xf>
    <xf numFmtId="44" fontId="13" fillId="0" borderId="0" xfId="2" applyFont="1"/>
    <xf numFmtId="0" fontId="13" fillId="0" borderId="0" xfId="0" applyFont="1"/>
    <xf numFmtId="44" fontId="14" fillId="0" borderId="0" xfId="2" applyFont="1"/>
    <xf numFmtId="0" fontId="14" fillId="0" borderId="0" xfId="0" applyFont="1"/>
    <xf numFmtId="0" fontId="12" fillId="6" borderId="0" xfId="4" applyFont="1" applyFill="1" applyAlignment="1">
      <alignment horizontal="center" vertical="center" wrapText="1"/>
    </xf>
    <xf numFmtId="0" fontId="3" fillId="3" borderId="21"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11" fillId="5" borderId="0" xfId="5" applyFont="1" applyFill="1" applyAlignment="1">
      <alignment vertical="center" wrapText="1"/>
    </xf>
    <xf numFmtId="0" fontId="1" fillId="2" borderId="22" xfId="0" applyFont="1" applyFill="1" applyBorder="1" applyAlignment="1">
      <alignment horizontal="center" vertical="center" wrapText="1"/>
    </xf>
    <xf numFmtId="4" fontId="0" fillId="0" borderId="32" xfId="0" applyNumberFormat="1" applyBorder="1" applyAlignment="1">
      <alignment horizontal="center" vertical="center"/>
    </xf>
    <xf numFmtId="4" fontId="0" fillId="0" borderId="33" xfId="0" applyNumberFormat="1" applyBorder="1" applyAlignment="1">
      <alignment horizontal="center" vertical="center"/>
    </xf>
    <xf numFmtId="4" fontId="0" fillId="0" borderId="34" xfId="0" applyNumberFormat="1" applyBorder="1" applyAlignment="1">
      <alignment horizontal="center" vertical="center"/>
    </xf>
    <xf numFmtId="4" fontId="0" fillId="0" borderId="35" xfId="0" applyNumberFormat="1" applyBorder="1" applyAlignment="1">
      <alignment horizontal="center" vertical="center"/>
    </xf>
    <xf numFmtId="4" fontId="0" fillId="0" borderId="36" xfId="0" applyNumberFormat="1" applyBorder="1" applyAlignment="1">
      <alignment horizontal="center" vertical="center"/>
    </xf>
    <xf numFmtId="0" fontId="3" fillId="3" borderId="23" xfId="0" applyFont="1" applyFill="1" applyBorder="1" applyAlignment="1">
      <alignment horizontal="center" vertical="center" wrapText="1"/>
    </xf>
    <xf numFmtId="0" fontId="0" fillId="0" borderId="28" xfId="0" applyBorder="1" applyAlignment="1">
      <alignment horizontal="center" vertical="center"/>
    </xf>
  </cellXfs>
  <cellStyles count="6">
    <cellStyle name="Milliers" xfId="1" builtinId="3"/>
    <cellStyle name="Monétaire" xfId="2" builtinId="4"/>
    <cellStyle name="Normal" xfId="0" builtinId="0"/>
    <cellStyle name="Normal 2" xfId="4" xr:uid="{80B299F2-FE59-42BD-B916-CA189C96D5E2}"/>
    <cellStyle name="Normal 3" xfId="5" xr:uid="{1358A0CE-E341-46B0-A498-D8F70E366214}"/>
    <cellStyle name="Pourcentage" xfId="3" builtinId="5"/>
  </cellStyles>
  <dxfs count="1">
    <dxf>
      <font>
        <color rgb="FF00B05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24812</xdr:rowOff>
    </xdr:from>
    <xdr:ext cx="1069194" cy="907676"/>
    <xdr:pic>
      <xdr:nvPicPr>
        <xdr:cNvPr id="2" name="Image 1" descr="ams logo courrier">
          <a:extLst>
            <a:ext uri="{FF2B5EF4-FFF2-40B4-BE49-F238E27FC236}">
              <a16:creationId xmlns:a16="http://schemas.microsoft.com/office/drawing/2014/main" id="{E8CC405E-B7C5-4ED2-B2CC-4DB2E5845A30}"/>
            </a:ext>
          </a:extLst>
        </xdr:cNvPr>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612" b="29995"/>
        <a:stretch/>
      </xdr:blipFill>
      <xdr:spPr bwMode="auto">
        <a:xfrm>
          <a:off x="0" y="405812"/>
          <a:ext cx="1069194" cy="907676"/>
        </a:xfrm>
        <a:prstGeom prst="rect">
          <a:avLst/>
        </a:prstGeom>
        <a:noFill/>
      </xdr:spPr>
    </xdr:pic>
    <xdr:clientData/>
  </xdr:oneCellAnchor>
</xdr:wsDr>
</file>

<file path=xl/persons/person.xml><?xml version="1.0" encoding="utf-8"?>
<personList xmlns="http://schemas.microsoft.com/office/spreadsheetml/2018/threadedcomments" xmlns:x="http://schemas.openxmlformats.org/spreadsheetml/2006/main">
  <person displayName="Lisa Sebille" id="{482CD87D-A198-43DE-99C3-5112B736338D}" userId="S::l.sebille@absa.ch::0b5808f6-9a56-4422-841f-86121ac079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51" dT="2026-08-27T13:14:56.02" personId="{482CD87D-A198-43DE-99C3-5112B736338D}" id="{ACC0129E-2874-48C5-A137-E3127B97A26C}">
    <text xml:space="preserve">5 cm dans AO
</text>
  </threadedComment>
  <threadedComment ref="L72" dT="2026-08-27T12:31:07.76" personId="{482CD87D-A198-43DE-99C3-5112B736338D}" id="{54282AC6-D1B4-4AA5-9C35-A533BE3BD227}">
    <text>Admis dosage à 50kg/m3, surface pour 40cm</text>
  </threadedComment>
  <threadedComment ref="L72" dT="2026-08-27T12:35:49.92" personId="{482CD87D-A198-43DE-99C3-5112B736338D}" id="{25EF0A59-3AE3-4ACC-99CD-916583649EA4}" parentId="{54282AC6-D1B4-4AA5-9C35-A533BE3BD227}">
    <text>Attention dans tableau uniquement 2950 mais sur phasage MG 2300+4400</text>
  </threadedComment>
  <threadedComment ref="M92" dT="2026-08-27T13:27:41.83" personId="{482CD87D-A198-43DE-99C3-5112B736338D}" id="{E7B0E7CF-DC11-45D2-BB96-663942FF0362}">
    <text>Pdf MG 2022 -1’200’000</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B94"/>
  <sheetViews>
    <sheetView tabSelected="1" zoomScale="85" zoomScaleNormal="85" workbookViewId="0">
      <pane ySplit="7" topLeftCell="A59" activePane="bottomLeft" state="frozen"/>
      <selection pane="bottomLeft" activeCell="AB8" sqref="AB8"/>
    </sheetView>
  </sheetViews>
  <sheetFormatPr baseColWidth="10" defaultColWidth="9.140625" defaultRowHeight="15" x14ac:dyDescent="0.25"/>
  <cols>
    <col min="1" max="2" width="8" customWidth="1"/>
    <col min="3" max="3" width="34" hidden="1" customWidth="1"/>
    <col min="4" max="4" width="14" customWidth="1"/>
    <col min="5" max="5" width="75" customWidth="1"/>
    <col min="6" max="6" width="14" customWidth="1"/>
    <col min="7" max="7" width="10" customWidth="1"/>
    <col min="8" max="8" width="4.7109375" customWidth="1"/>
    <col min="9" max="9" width="16" customWidth="1"/>
    <col min="10" max="10" width="17.140625" bestFit="1" customWidth="1"/>
    <col min="11" max="11" width="4.7109375" customWidth="1"/>
    <col min="12" max="12" width="14" customWidth="1"/>
    <col min="13" max="13" width="17.140625" bestFit="1" customWidth="1"/>
    <col min="14" max="14" width="4.7109375" customWidth="1"/>
    <col min="15" max="15" width="15.42578125" bestFit="1" customWidth="1"/>
    <col min="16" max="16" width="16" customWidth="1"/>
    <col min="17" max="17" width="4.7109375" customWidth="1"/>
    <col min="18" max="18" width="60.7109375" style="59" customWidth="1"/>
    <col min="19" max="19" width="4.7109375" customWidth="1"/>
    <col min="20" max="20" width="14" customWidth="1"/>
    <col min="21" max="21" width="17.140625" bestFit="1" customWidth="1"/>
    <col min="22" max="22" width="16.140625" customWidth="1"/>
    <col min="23" max="23" width="15.140625" customWidth="1"/>
    <col min="24" max="24" width="11.28515625" customWidth="1"/>
    <col min="27" max="27" width="11.28515625" customWidth="1"/>
  </cols>
  <sheetData>
    <row r="2" spans="1:28" s="77" customFormat="1" ht="24.95" customHeight="1" x14ac:dyDescent="0.25">
      <c r="A2" s="74"/>
      <c r="B2" s="74"/>
      <c r="C2" s="91" t="s">
        <v>183</v>
      </c>
      <c r="D2" s="91"/>
      <c r="E2" s="91"/>
      <c r="F2" s="91"/>
      <c r="G2" s="91"/>
      <c r="H2" s="91"/>
      <c r="I2" s="91"/>
      <c r="J2" s="91"/>
      <c r="K2" s="91"/>
      <c r="L2" s="91"/>
      <c r="M2" s="91"/>
      <c r="N2" s="91"/>
      <c r="O2" s="91"/>
      <c r="P2" s="91"/>
      <c r="Q2" s="91"/>
      <c r="R2" s="75"/>
      <c r="S2" s="82" t="s">
        <v>178</v>
      </c>
      <c r="T2" s="88">
        <v>6427</v>
      </c>
      <c r="U2" s="88"/>
      <c r="Z2" s="76"/>
    </row>
    <row r="3" spans="1:28" s="77" customFormat="1" ht="24.95" customHeight="1" x14ac:dyDescent="0.25">
      <c r="A3" s="78"/>
      <c r="B3" s="78"/>
      <c r="C3" s="91"/>
      <c r="D3" s="91"/>
      <c r="E3" s="91"/>
      <c r="F3" s="91"/>
      <c r="G3" s="91"/>
      <c r="H3" s="91"/>
      <c r="I3" s="91"/>
      <c r="J3" s="91"/>
      <c r="K3" s="91"/>
      <c r="L3" s="91"/>
      <c r="M3" s="91"/>
      <c r="N3" s="91"/>
      <c r="O3" s="91"/>
      <c r="P3" s="91"/>
      <c r="Q3" s="91"/>
      <c r="R3" s="75"/>
      <c r="S3" s="82" t="s">
        <v>179</v>
      </c>
      <c r="T3" s="88" t="s">
        <v>181</v>
      </c>
      <c r="U3" s="88"/>
      <c r="Z3" s="76"/>
    </row>
    <row r="4" spans="1:28" s="77" customFormat="1" ht="24.95" customHeight="1" x14ac:dyDescent="0.25">
      <c r="A4" s="79"/>
      <c r="B4" s="79"/>
      <c r="C4" s="79"/>
      <c r="D4" s="79"/>
      <c r="E4" s="80"/>
      <c r="F4" s="81"/>
      <c r="G4" s="81"/>
      <c r="H4" s="81"/>
      <c r="I4" s="81"/>
      <c r="J4" s="81"/>
      <c r="K4" s="81"/>
      <c r="L4" s="81"/>
      <c r="M4" s="81"/>
      <c r="N4" s="81"/>
      <c r="O4" s="81"/>
      <c r="P4" s="81"/>
      <c r="Q4" s="81"/>
      <c r="R4" s="75"/>
      <c r="S4" s="82" t="s">
        <v>180</v>
      </c>
      <c r="T4" s="88" t="s">
        <v>182</v>
      </c>
      <c r="U4" s="88"/>
      <c r="Z4" s="76"/>
    </row>
    <row r="6" spans="1:28" ht="30" customHeight="1" x14ac:dyDescent="0.25">
      <c r="I6" s="89" t="s">
        <v>188</v>
      </c>
      <c r="J6" s="98"/>
      <c r="K6" s="73"/>
      <c r="L6" s="89" t="s">
        <v>164</v>
      </c>
      <c r="M6" s="90"/>
      <c r="N6" s="73"/>
      <c r="O6" s="89" t="s">
        <v>185</v>
      </c>
      <c r="P6" s="90"/>
      <c r="Q6" s="46"/>
      <c r="T6" s="89" t="s">
        <v>176</v>
      </c>
      <c r="U6" s="90"/>
      <c r="V6" s="46"/>
      <c r="X6" s="89" t="s">
        <v>187</v>
      </c>
      <c r="Y6" s="90"/>
      <c r="AA6" s="89" t="s">
        <v>189</v>
      </c>
      <c r="AB6" s="90"/>
    </row>
    <row r="7" spans="1:28" ht="30" customHeight="1" x14ac:dyDescent="0.25">
      <c r="A7" s="43" t="s">
        <v>0</v>
      </c>
      <c r="B7" s="45" t="s">
        <v>1</v>
      </c>
      <c r="C7" s="44" t="s">
        <v>2</v>
      </c>
      <c r="D7" s="44" t="s">
        <v>3</v>
      </c>
      <c r="E7" s="48" t="s">
        <v>4</v>
      </c>
      <c r="F7" s="57" t="s">
        <v>154</v>
      </c>
      <c r="G7" s="49" t="s">
        <v>5</v>
      </c>
      <c r="H7" s="47"/>
      <c r="I7" s="92" t="s">
        <v>153</v>
      </c>
      <c r="J7" s="56" t="s">
        <v>6</v>
      </c>
      <c r="K7" s="47"/>
      <c r="L7" s="53" t="s">
        <v>154</v>
      </c>
      <c r="M7" s="49" t="s">
        <v>6</v>
      </c>
      <c r="N7" s="47"/>
      <c r="O7" s="54" t="s">
        <v>168</v>
      </c>
      <c r="P7" s="55" t="s">
        <v>169</v>
      </c>
      <c r="R7" s="50" t="s">
        <v>170</v>
      </c>
      <c r="S7" s="47"/>
      <c r="T7" s="57" t="s">
        <v>154</v>
      </c>
      <c r="U7" s="56" t="s">
        <v>6</v>
      </c>
      <c r="X7" s="57" t="s">
        <v>153</v>
      </c>
      <c r="Y7" s="56" t="s">
        <v>6</v>
      </c>
      <c r="AA7" s="57" t="s">
        <v>153</v>
      </c>
      <c r="AB7" s="56" t="s">
        <v>6</v>
      </c>
    </row>
    <row r="8" spans="1:28" ht="75" x14ac:dyDescent="0.25">
      <c r="A8" s="3" t="s">
        <v>7</v>
      </c>
      <c r="B8" s="4" t="s">
        <v>8</v>
      </c>
      <c r="C8" s="4" t="s">
        <v>9</v>
      </c>
      <c r="D8" s="4" t="s">
        <v>10</v>
      </c>
      <c r="E8" s="5" t="s">
        <v>11</v>
      </c>
      <c r="F8" s="18">
        <v>7</v>
      </c>
      <c r="G8" s="15" t="s">
        <v>12</v>
      </c>
      <c r="H8" s="99"/>
      <c r="I8" s="93">
        <v>150</v>
      </c>
      <c r="J8" s="6">
        <f>F8*$I8</f>
        <v>1050</v>
      </c>
      <c r="K8" s="2"/>
      <c r="L8" s="18"/>
      <c r="M8" s="6">
        <f>L8*$I8</f>
        <v>0</v>
      </c>
      <c r="N8" s="2"/>
      <c r="O8" s="18">
        <f>F8-L8</f>
        <v>7</v>
      </c>
      <c r="P8" s="51"/>
      <c r="R8" s="60"/>
      <c r="S8" s="2"/>
      <c r="T8" s="18">
        <v>7</v>
      </c>
      <c r="U8" s="6">
        <f>T8*$I8</f>
        <v>1050</v>
      </c>
      <c r="X8" s="18">
        <v>200</v>
      </c>
      <c r="Y8" s="6">
        <f>X8*$F8</f>
        <v>0</v>
      </c>
      <c r="AA8" s="18"/>
      <c r="AB8" s="6">
        <f>AA8*$F8</f>
        <v>0</v>
      </c>
    </row>
    <row r="9" spans="1:28" ht="60" x14ac:dyDescent="0.25">
      <c r="A9" s="7" t="s">
        <v>7</v>
      </c>
      <c r="B9" s="8" t="s">
        <v>8</v>
      </c>
      <c r="C9" s="8" t="s">
        <v>9</v>
      </c>
      <c r="D9" s="8" t="s">
        <v>13</v>
      </c>
      <c r="E9" s="9" t="s">
        <v>14</v>
      </c>
      <c r="F9" s="19">
        <v>11</v>
      </c>
      <c r="G9" s="16" t="s">
        <v>12</v>
      </c>
      <c r="H9" s="99"/>
      <c r="I9" s="94">
        <v>150</v>
      </c>
      <c r="J9" s="10">
        <f>F9*$I9</f>
        <v>1650</v>
      </c>
      <c r="K9" s="2"/>
      <c r="L9" s="19"/>
      <c r="M9" s="10">
        <f>L9*$I9</f>
        <v>0</v>
      </c>
      <c r="N9" s="2"/>
      <c r="O9" s="19">
        <f>F9-L9</f>
        <v>11</v>
      </c>
      <c r="P9" s="10"/>
      <c r="R9" s="61"/>
      <c r="S9" s="2"/>
      <c r="T9" s="19">
        <v>11</v>
      </c>
      <c r="U9" s="10">
        <f>T9*$I9</f>
        <v>1650</v>
      </c>
      <c r="X9" s="19">
        <v>200</v>
      </c>
      <c r="Y9" s="10">
        <f t="shared" ref="Y9:Y15" si="0">X9*$F9</f>
        <v>0</v>
      </c>
      <c r="AA9" s="19"/>
      <c r="AB9" s="10">
        <f t="shared" ref="AB9:AB15" si="1">AA9*$F9</f>
        <v>0</v>
      </c>
    </row>
    <row r="10" spans="1:28" ht="45" x14ac:dyDescent="0.25">
      <c r="A10" s="7" t="s">
        <v>7</v>
      </c>
      <c r="B10" s="8" t="s">
        <v>8</v>
      </c>
      <c r="C10" s="8" t="s">
        <v>9</v>
      </c>
      <c r="D10" s="8" t="s">
        <v>15</v>
      </c>
      <c r="E10" s="9" t="s">
        <v>16</v>
      </c>
      <c r="F10" s="19">
        <v>11</v>
      </c>
      <c r="G10" s="16" t="s">
        <v>17</v>
      </c>
      <c r="H10" s="99"/>
      <c r="I10" s="94">
        <v>312.5</v>
      </c>
      <c r="J10" s="10">
        <f>F10*$I10</f>
        <v>3437.5</v>
      </c>
      <c r="K10" s="2"/>
      <c r="L10" s="19"/>
      <c r="M10" s="10">
        <f>L10*$I10</f>
        <v>0</v>
      </c>
      <c r="N10" s="2"/>
      <c r="O10" s="19">
        <f>F10-L10</f>
        <v>11</v>
      </c>
      <c r="P10" s="10"/>
      <c r="R10" s="61"/>
      <c r="S10" s="2"/>
      <c r="T10" s="19">
        <v>11</v>
      </c>
      <c r="U10" s="10">
        <f>T10*$I10</f>
        <v>3437.5</v>
      </c>
      <c r="X10" s="19">
        <v>75</v>
      </c>
      <c r="Y10" s="10">
        <f t="shared" si="0"/>
        <v>0</v>
      </c>
      <c r="AA10" s="19"/>
      <c r="AB10" s="10">
        <f t="shared" si="1"/>
        <v>0</v>
      </c>
    </row>
    <row r="11" spans="1:28" ht="60" x14ac:dyDescent="0.25">
      <c r="A11" s="7" t="s">
        <v>7</v>
      </c>
      <c r="B11" s="8" t="s">
        <v>8</v>
      </c>
      <c r="C11" s="8" t="s">
        <v>9</v>
      </c>
      <c r="D11" s="8" t="s">
        <v>18</v>
      </c>
      <c r="E11" s="9" t="s">
        <v>19</v>
      </c>
      <c r="F11" s="19">
        <v>4</v>
      </c>
      <c r="G11" s="16" t="s">
        <v>17</v>
      </c>
      <c r="H11" s="99"/>
      <c r="I11" s="94">
        <v>312.5</v>
      </c>
      <c r="J11" s="10">
        <f>F11*$I11</f>
        <v>1250</v>
      </c>
      <c r="K11" s="2"/>
      <c r="L11" s="19"/>
      <c r="M11" s="10">
        <f>L11*$I11</f>
        <v>0</v>
      </c>
      <c r="N11" s="2"/>
      <c r="O11" s="19">
        <f>F11-L11</f>
        <v>4</v>
      </c>
      <c r="P11" s="10"/>
      <c r="R11" s="61"/>
      <c r="S11" s="2"/>
      <c r="T11" s="19">
        <v>4</v>
      </c>
      <c r="U11" s="10">
        <f>T11*$I11</f>
        <v>1250</v>
      </c>
      <c r="X11" s="19">
        <v>150</v>
      </c>
      <c r="Y11" s="10">
        <f t="shared" si="0"/>
        <v>0</v>
      </c>
      <c r="AA11" s="19"/>
      <c r="AB11" s="10">
        <f t="shared" si="1"/>
        <v>0</v>
      </c>
    </row>
    <row r="12" spans="1:28" ht="30" x14ac:dyDescent="0.25">
      <c r="A12" s="7" t="s">
        <v>7</v>
      </c>
      <c r="B12" s="8" t="s">
        <v>8</v>
      </c>
      <c r="C12" s="8" t="s">
        <v>9</v>
      </c>
      <c r="D12" s="8" t="s">
        <v>20</v>
      </c>
      <c r="E12" s="9" t="s">
        <v>21</v>
      </c>
      <c r="F12" s="19">
        <v>20</v>
      </c>
      <c r="G12" s="16" t="s">
        <v>22</v>
      </c>
      <c r="H12" s="99"/>
      <c r="I12" s="94">
        <v>30</v>
      </c>
      <c r="J12" s="10">
        <f>F12*$I12</f>
        <v>600</v>
      </c>
      <c r="K12" s="2"/>
      <c r="L12" s="19"/>
      <c r="M12" s="10">
        <f>L12*$I12</f>
        <v>0</v>
      </c>
      <c r="N12" s="2"/>
      <c r="O12" s="19">
        <f>F12-L12</f>
        <v>20</v>
      </c>
      <c r="P12" s="10"/>
      <c r="R12" s="61"/>
      <c r="S12" s="2"/>
      <c r="T12" s="19">
        <v>20</v>
      </c>
      <c r="U12" s="10">
        <f>T12*$I12</f>
        <v>600</v>
      </c>
      <c r="X12" s="19">
        <v>100</v>
      </c>
      <c r="Y12" s="10">
        <f t="shared" si="0"/>
        <v>0</v>
      </c>
      <c r="AA12" s="19"/>
      <c r="AB12" s="10">
        <f t="shared" si="1"/>
        <v>0</v>
      </c>
    </row>
    <row r="13" spans="1:28" x14ac:dyDescent="0.25">
      <c r="A13" s="7" t="s">
        <v>7</v>
      </c>
      <c r="B13" s="8" t="s">
        <v>8</v>
      </c>
      <c r="C13" s="8" t="s">
        <v>9</v>
      </c>
      <c r="D13" s="8" t="s">
        <v>23</v>
      </c>
      <c r="E13" s="9" t="s">
        <v>24</v>
      </c>
      <c r="F13" s="19">
        <v>21</v>
      </c>
      <c r="G13" s="16" t="s">
        <v>17</v>
      </c>
      <c r="H13" s="99"/>
      <c r="I13" s="94">
        <v>150</v>
      </c>
      <c r="J13" s="10">
        <f>F13*$I13</f>
        <v>3150</v>
      </c>
      <c r="K13" s="2"/>
      <c r="L13" s="19"/>
      <c r="M13" s="10">
        <f>L13*$I13</f>
        <v>0</v>
      </c>
      <c r="N13" s="2"/>
      <c r="O13" s="19">
        <f>F13-L13</f>
        <v>21</v>
      </c>
      <c r="P13" s="10"/>
      <c r="R13" s="61"/>
      <c r="S13" s="2"/>
      <c r="T13" s="19">
        <v>21</v>
      </c>
      <c r="U13" s="10">
        <f>T13*$I13</f>
        <v>3150</v>
      </c>
      <c r="X13" s="19">
        <v>180</v>
      </c>
      <c r="Y13" s="10">
        <f t="shared" si="0"/>
        <v>0</v>
      </c>
      <c r="AA13" s="19"/>
      <c r="AB13" s="10">
        <f t="shared" si="1"/>
        <v>0</v>
      </c>
    </row>
    <row r="14" spans="1:28" ht="60" x14ac:dyDescent="0.25">
      <c r="A14" s="7" t="s">
        <v>7</v>
      </c>
      <c r="B14" s="8" t="s">
        <v>8</v>
      </c>
      <c r="C14" s="8" t="s">
        <v>9</v>
      </c>
      <c r="D14" s="8" t="s">
        <v>25</v>
      </c>
      <c r="E14" s="9" t="s">
        <v>26</v>
      </c>
      <c r="F14" s="19">
        <v>33</v>
      </c>
      <c r="G14" s="16" t="s">
        <v>17</v>
      </c>
      <c r="H14" s="99"/>
      <c r="I14" s="94">
        <v>250</v>
      </c>
      <c r="J14" s="10">
        <f>F14*$I14</f>
        <v>8250</v>
      </c>
      <c r="K14" s="2"/>
      <c r="L14" s="19"/>
      <c r="M14" s="10">
        <f>L14*$I14</f>
        <v>0</v>
      </c>
      <c r="N14" s="2"/>
      <c r="O14" s="19">
        <f>F14-L14</f>
        <v>33</v>
      </c>
      <c r="P14" s="10"/>
      <c r="R14" s="61"/>
      <c r="S14" s="2"/>
      <c r="T14" s="19">
        <v>33</v>
      </c>
      <c r="U14" s="10">
        <f>T14*$I14</f>
        <v>8250</v>
      </c>
      <c r="X14" s="19">
        <v>250</v>
      </c>
      <c r="Y14" s="10">
        <f t="shared" si="0"/>
        <v>0</v>
      </c>
      <c r="AA14" s="19"/>
      <c r="AB14" s="10">
        <f t="shared" si="1"/>
        <v>0</v>
      </c>
    </row>
    <row r="15" spans="1:28" ht="45" x14ac:dyDescent="0.25">
      <c r="A15" s="21" t="s">
        <v>7</v>
      </c>
      <c r="B15" s="22" t="s">
        <v>8</v>
      </c>
      <c r="C15" s="22" t="s">
        <v>9</v>
      </c>
      <c r="D15" s="22" t="s">
        <v>27</v>
      </c>
      <c r="E15" s="23" t="s">
        <v>28</v>
      </c>
      <c r="F15" s="29">
        <v>2</v>
      </c>
      <c r="G15" s="24" t="s">
        <v>22</v>
      </c>
      <c r="H15" s="99"/>
      <c r="I15" s="95"/>
      <c r="J15" s="30">
        <f>F15*$I15</f>
        <v>0</v>
      </c>
      <c r="K15" s="2"/>
      <c r="L15" s="29"/>
      <c r="M15" s="30">
        <f>L15*$I15</f>
        <v>0</v>
      </c>
      <c r="N15" s="2"/>
      <c r="O15" s="29">
        <f>F15-L15</f>
        <v>2</v>
      </c>
      <c r="P15" s="30"/>
      <c r="R15" s="61"/>
      <c r="S15" s="2"/>
      <c r="T15" s="29">
        <v>2</v>
      </c>
      <c r="U15" s="30">
        <f>T15*$I15</f>
        <v>0</v>
      </c>
      <c r="X15" s="29">
        <v>7500</v>
      </c>
      <c r="Y15" s="30">
        <f t="shared" si="0"/>
        <v>0</v>
      </c>
      <c r="AA15" s="29"/>
      <c r="AB15" s="30">
        <f t="shared" si="1"/>
        <v>0</v>
      </c>
    </row>
    <row r="16" spans="1:28" ht="30" customHeight="1" x14ac:dyDescent="0.25">
      <c r="A16" s="33"/>
      <c r="B16" s="34"/>
      <c r="C16" s="34"/>
      <c r="D16" s="34"/>
      <c r="E16" s="39" t="s">
        <v>155</v>
      </c>
      <c r="F16" s="36"/>
      <c r="G16" s="38" t="s">
        <v>156</v>
      </c>
      <c r="H16" s="99"/>
      <c r="I16" s="35"/>
      <c r="J16" s="37">
        <f>SUM(J8:J15)</f>
        <v>19387.5</v>
      </c>
      <c r="K16" s="2"/>
      <c r="L16" s="36"/>
      <c r="M16" s="37">
        <v>10000</v>
      </c>
      <c r="N16" s="2"/>
      <c r="O16" s="36"/>
      <c r="P16" s="37"/>
      <c r="R16" s="61"/>
      <c r="S16" s="2"/>
      <c r="T16" s="36"/>
      <c r="U16" s="37">
        <f>SUM(U8:U15)</f>
        <v>19387.5</v>
      </c>
      <c r="X16" s="36"/>
      <c r="Y16" s="37">
        <f>SUM(Y8:Y15)</f>
        <v>0</v>
      </c>
      <c r="AA16" s="36"/>
      <c r="AB16" s="37">
        <f>SUM(AB8:AB15)</f>
        <v>0</v>
      </c>
    </row>
    <row r="17" spans="1:28" ht="60" x14ac:dyDescent="0.25">
      <c r="A17" s="25" t="s">
        <v>7</v>
      </c>
      <c r="B17" s="26" t="s">
        <v>29</v>
      </c>
      <c r="C17" s="26" t="s">
        <v>30</v>
      </c>
      <c r="D17" s="26" t="s">
        <v>31</v>
      </c>
      <c r="E17" s="27" t="s">
        <v>32</v>
      </c>
      <c r="F17" s="31">
        <v>1</v>
      </c>
      <c r="G17" s="28" t="s">
        <v>17</v>
      </c>
      <c r="H17" s="99"/>
      <c r="I17" s="96">
        <v>27500</v>
      </c>
      <c r="J17" s="32">
        <f>F17*$I17</f>
        <v>27500</v>
      </c>
      <c r="K17" s="2"/>
      <c r="L17" s="31"/>
      <c r="M17" s="32">
        <f>L17*$I17</f>
        <v>0</v>
      </c>
      <c r="N17" s="2"/>
      <c r="O17" s="31">
        <f>F17-L17</f>
        <v>1</v>
      </c>
      <c r="P17" s="32"/>
      <c r="R17" s="61"/>
      <c r="S17" s="2"/>
      <c r="T17" s="31">
        <v>1</v>
      </c>
      <c r="U17" s="32">
        <f>T17*$I17</f>
        <v>27500</v>
      </c>
      <c r="X17" s="31">
        <v>25000</v>
      </c>
      <c r="Y17" s="6">
        <f>X17*$F17</f>
        <v>0</v>
      </c>
      <c r="AA17" s="31"/>
      <c r="AB17" s="6">
        <f>AA17*$F17</f>
        <v>0</v>
      </c>
    </row>
    <row r="18" spans="1:28" ht="75" x14ac:dyDescent="0.25">
      <c r="A18" s="7" t="s">
        <v>7</v>
      </c>
      <c r="B18" s="8" t="s">
        <v>29</v>
      </c>
      <c r="C18" s="8" t="s">
        <v>30</v>
      </c>
      <c r="D18" s="8" t="s">
        <v>33</v>
      </c>
      <c r="E18" s="9" t="s">
        <v>34</v>
      </c>
      <c r="F18" s="19">
        <v>1</v>
      </c>
      <c r="G18" s="16" t="s">
        <v>12</v>
      </c>
      <c r="H18" s="99"/>
      <c r="I18" s="94">
        <v>1500</v>
      </c>
      <c r="J18" s="10">
        <f>F18*$I18</f>
        <v>1500</v>
      </c>
      <c r="K18" s="2"/>
      <c r="L18" s="19"/>
      <c r="M18" s="10">
        <f>L18*$I18</f>
        <v>0</v>
      </c>
      <c r="N18" s="2"/>
      <c r="O18" s="19">
        <f>F18-L18</f>
        <v>1</v>
      </c>
      <c r="P18" s="10"/>
      <c r="R18" s="61"/>
      <c r="S18" s="2"/>
      <c r="T18" s="19">
        <v>1</v>
      </c>
      <c r="U18" s="10">
        <f>T18*$I18</f>
        <v>1500</v>
      </c>
      <c r="X18" s="19">
        <v>35000</v>
      </c>
      <c r="Y18" s="10">
        <f t="shared" ref="Y18:Y31" si="2">X18*$F18</f>
        <v>0</v>
      </c>
      <c r="AA18" s="19"/>
      <c r="AB18" s="10">
        <f t="shared" ref="AB18:AB31" si="3">AA18*$F18</f>
        <v>0</v>
      </c>
    </row>
    <row r="19" spans="1:28" ht="45" x14ac:dyDescent="0.25">
      <c r="A19" s="7" t="s">
        <v>7</v>
      </c>
      <c r="B19" s="8" t="s">
        <v>29</v>
      </c>
      <c r="C19" s="8" t="s">
        <v>30</v>
      </c>
      <c r="D19" s="8" t="s">
        <v>35</v>
      </c>
      <c r="E19" s="9" t="s">
        <v>36</v>
      </c>
      <c r="F19" s="19">
        <v>2</v>
      </c>
      <c r="G19" s="16" t="s">
        <v>17</v>
      </c>
      <c r="H19" s="99"/>
      <c r="I19" s="94">
        <v>1000</v>
      </c>
      <c r="J19" s="10">
        <f>F19*$I19</f>
        <v>2000</v>
      </c>
      <c r="K19" s="2"/>
      <c r="L19" s="19"/>
      <c r="M19" s="10">
        <f>L19*$I19</f>
        <v>0</v>
      </c>
      <c r="N19" s="2"/>
      <c r="O19" s="19">
        <f>F19-L19</f>
        <v>2</v>
      </c>
      <c r="P19" s="10"/>
      <c r="R19" s="61"/>
      <c r="S19" s="2"/>
      <c r="T19" s="19">
        <v>2</v>
      </c>
      <c r="U19" s="10">
        <f>T19*$I19</f>
        <v>2000</v>
      </c>
      <c r="X19" s="19">
        <v>1500</v>
      </c>
      <c r="Y19" s="10">
        <f t="shared" si="2"/>
        <v>0</v>
      </c>
      <c r="AA19" s="19"/>
      <c r="AB19" s="10">
        <f t="shared" si="3"/>
        <v>0</v>
      </c>
    </row>
    <row r="20" spans="1:28" ht="75" x14ac:dyDescent="0.25">
      <c r="A20" s="7" t="s">
        <v>7</v>
      </c>
      <c r="B20" s="8" t="s">
        <v>29</v>
      </c>
      <c r="C20" s="8" t="s">
        <v>30</v>
      </c>
      <c r="D20" s="8" t="s">
        <v>37</v>
      </c>
      <c r="E20" s="9" t="s">
        <v>38</v>
      </c>
      <c r="F20" s="19">
        <v>825</v>
      </c>
      <c r="G20" s="16" t="s">
        <v>17</v>
      </c>
      <c r="H20" s="99"/>
      <c r="I20" s="94">
        <v>11.5</v>
      </c>
      <c r="J20" s="10">
        <f>F20*$I20</f>
        <v>9487.5</v>
      </c>
      <c r="K20" s="2"/>
      <c r="L20" s="19"/>
      <c r="M20" s="10">
        <f>L20*$I20</f>
        <v>0</v>
      </c>
      <c r="N20" s="2"/>
      <c r="O20" s="19">
        <f>F20-L20</f>
        <v>825</v>
      </c>
      <c r="P20" s="10"/>
      <c r="R20" s="61"/>
      <c r="S20" s="2"/>
      <c r="T20" s="19">
        <v>825</v>
      </c>
      <c r="U20" s="10">
        <f>T20*$I20</f>
        <v>9487.5</v>
      </c>
      <c r="X20" s="19">
        <v>5</v>
      </c>
      <c r="Y20" s="10">
        <f t="shared" si="2"/>
        <v>0</v>
      </c>
      <c r="AA20" s="19"/>
      <c r="AB20" s="10">
        <f t="shared" si="3"/>
        <v>0</v>
      </c>
    </row>
    <row r="21" spans="1:28" ht="45" x14ac:dyDescent="0.25">
      <c r="A21" s="7" t="s">
        <v>7</v>
      </c>
      <c r="B21" s="8" t="s">
        <v>29</v>
      </c>
      <c r="C21" s="8" t="s">
        <v>30</v>
      </c>
      <c r="D21" s="8" t="s">
        <v>39</v>
      </c>
      <c r="E21" s="9" t="s">
        <v>40</v>
      </c>
      <c r="F21" s="19">
        <v>1</v>
      </c>
      <c r="G21" s="16" t="s">
        <v>17</v>
      </c>
      <c r="H21" s="99"/>
      <c r="I21" s="94">
        <v>2500</v>
      </c>
      <c r="J21" s="10">
        <f>F21*$I21</f>
        <v>2500</v>
      </c>
      <c r="K21" s="2"/>
      <c r="L21" s="19"/>
      <c r="M21" s="10">
        <f>L21*$I21</f>
        <v>0</v>
      </c>
      <c r="N21" s="2"/>
      <c r="O21" s="19">
        <f>F21-L21</f>
        <v>1</v>
      </c>
      <c r="P21" s="10"/>
      <c r="R21" s="61"/>
      <c r="S21" s="2"/>
      <c r="T21" s="19">
        <v>1</v>
      </c>
      <c r="U21" s="10">
        <f>T21*$I21</f>
        <v>2500</v>
      </c>
      <c r="X21" s="19">
        <v>3000</v>
      </c>
      <c r="Y21" s="10">
        <f t="shared" si="2"/>
        <v>0</v>
      </c>
      <c r="AA21" s="19"/>
      <c r="AB21" s="10">
        <f t="shared" si="3"/>
        <v>0</v>
      </c>
    </row>
    <row r="22" spans="1:28" ht="30" x14ac:dyDescent="0.25">
      <c r="A22" s="7" t="s">
        <v>7</v>
      </c>
      <c r="B22" s="8" t="s">
        <v>29</v>
      </c>
      <c r="C22" s="8" t="s">
        <v>30</v>
      </c>
      <c r="D22" s="8" t="s">
        <v>41</v>
      </c>
      <c r="E22" s="9" t="s">
        <v>42</v>
      </c>
      <c r="F22" s="19">
        <v>1</v>
      </c>
      <c r="G22" s="16" t="s">
        <v>17</v>
      </c>
      <c r="H22" s="99"/>
      <c r="I22" s="94">
        <v>100</v>
      </c>
      <c r="J22" s="10">
        <f>F22*$I22</f>
        <v>100</v>
      </c>
      <c r="K22" s="2"/>
      <c r="L22" s="19"/>
      <c r="M22" s="10">
        <f>L22*$I22</f>
        <v>0</v>
      </c>
      <c r="N22" s="2"/>
      <c r="O22" s="19">
        <f>F22-L22</f>
        <v>1</v>
      </c>
      <c r="P22" s="10"/>
      <c r="R22" s="61"/>
      <c r="S22" s="2"/>
      <c r="T22" s="19">
        <v>1</v>
      </c>
      <c r="U22" s="10">
        <f>T22*$I22</f>
        <v>100</v>
      </c>
      <c r="X22" s="19">
        <v>3000</v>
      </c>
      <c r="Y22" s="10">
        <f t="shared" si="2"/>
        <v>0</v>
      </c>
      <c r="AA22" s="19"/>
      <c r="AB22" s="10">
        <f t="shared" si="3"/>
        <v>0</v>
      </c>
    </row>
    <row r="23" spans="1:28" ht="30" x14ac:dyDescent="0.25">
      <c r="A23" s="7" t="s">
        <v>7</v>
      </c>
      <c r="B23" s="8" t="s">
        <v>29</v>
      </c>
      <c r="C23" s="8" t="s">
        <v>30</v>
      </c>
      <c r="D23" s="8" t="s">
        <v>43</v>
      </c>
      <c r="E23" s="9" t="s">
        <v>44</v>
      </c>
      <c r="F23" s="19">
        <v>1</v>
      </c>
      <c r="G23" s="16" t="s">
        <v>17</v>
      </c>
      <c r="H23" s="99"/>
      <c r="I23" s="94"/>
      <c r="J23" s="10">
        <f>F23*$I23</f>
        <v>0</v>
      </c>
      <c r="K23" s="2"/>
      <c r="L23" s="19"/>
      <c r="M23" s="10">
        <f>L23*$I23</f>
        <v>0</v>
      </c>
      <c r="N23" s="2"/>
      <c r="O23" s="19">
        <f>F23-L23</f>
        <v>1</v>
      </c>
      <c r="P23" s="10"/>
      <c r="R23" s="61"/>
      <c r="S23" s="2"/>
      <c r="T23" s="19">
        <v>1</v>
      </c>
      <c r="U23" s="10">
        <f>T23*$I23</f>
        <v>0</v>
      </c>
      <c r="X23" s="19">
        <v>1500</v>
      </c>
      <c r="Y23" s="10">
        <f t="shared" si="2"/>
        <v>0</v>
      </c>
      <c r="AA23" s="19"/>
      <c r="AB23" s="10">
        <f t="shared" si="3"/>
        <v>0</v>
      </c>
    </row>
    <row r="24" spans="1:28" ht="30" x14ac:dyDescent="0.25">
      <c r="A24" s="7" t="s">
        <v>7</v>
      </c>
      <c r="B24" s="8" t="s">
        <v>29</v>
      </c>
      <c r="C24" s="8" t="s">
        <v>30</v>
      </c>
      <c r="D24" s="8" t="s">
        <v>45</v>
      </c>
      <c r="E24" s="9" t="s">
        <v>46</v>
      </c>
      <c r="F24" s="19">
        <v>1</v>
      </c>
      <c r="G24" s="16" t="s">
        <v>17</v>
      </c>
      <c r="H24" s="99"/>
      <c r="I24" s="94">
        <v>1500</v>
      </c>
      <c r="J24" s="10">
        <f>F24*$I24</f>
        <v>1500</v>
      </c>
      <c r="K24" s="2"/>
      <c r="L24" s="19"/>
      <c r="M24" s="10">
        <f>L24*$I24</f>
        <v>0</v>
      </c>
      <c r="N24" s="2"/>
      <c r="O24" s="19">
        <f>F24-L24</f>
        <v>1</v>
      </c>
      <c r="P24" s="10"/>
      <c r="R24" s="61"/>
      <c r="S24" s="2"/>
      <c r="T24" s="19">
        <v>1</v>
      </c>
      <c r="U24" s="10">
        <f>T24*$I24</f>
        <v>1500</v>
      </c>
      <c r="X24" s="19">
        <v>3000</v>
      </c>
      <c r="Y24" s="10">
        <f t="shared" si="2"/>
        <v>0</v>
      </c>
      <c r="AA24" s="19"/>
      <c r="AB24" s="10">
        <f t="shared" si="3"/>
        <v>0</v>
      </c>
    </row>
    <row r="25" spans="1:28" x14ac:dyDescent="0.25">
      <c r="A25" s="7" t="s">
        <v>7</v>
      </c>
      <c r="B25" s="8" t="s">
        <v>29</v>
      </c>
      <c r="C25" s="8" t="s">
        <v>30</v>
      </c>
      <c r="D25" s="8" t="s">
        <v>47</v>
      </c>
      <c r="E25" s="9" t="s">
        <v>48</v>
      </c>
      <c r="F25" s="19">
        <v>1</v>
      </c>
      <c r="G25" s="16" t="s">
        <v>17</v>
      </c>
      <c r="H25" s="99"/>
      <c r="I25" s="94">
        <v>1500</v>
      </c>
      <c r="J25" s="10">
        <f>F25*$I25</f>
        <v>1500</v>
      </c>
      <c r="K25" s="2"/>
      <c r="L25" s="19"/>
      <c r="M25" s="10">
        <f>L25*$I25</f>
        <v>0</v>
      </c>
      <c r="N25" s="2"/>
      <c r="O25" s="19">
        <f>F25-L25</f>
        <v>1</v>
      </c>
      <c r="P25" s="10"/>
      <c r="R25" s="61"/>
      <c r="S25" s="2"/>
      <c r="T25" s="19">
        <v>1</v>
      </c>
      <c r="U25" s="10">
        <f>T25*$I25</f>
        <v>1500</v>
      </c>
      <c r="X25" s="19">
        <v>1500</v>
      </c>
      <c r="Y25" s="10">
        <f t="shared" si="2"/>
        <v>0</v>
      </c>
      <c r="AA25" s="19"/>
      <c r="AB25" s="10">
        <f t="shared" si="3"/>
        <v>0</v>
      </c>
    </row>
    <row r="26" spans="1:28" ht="150" x14ac:dyDescent="0.25">
      <c r="A26" s="7" t="s">
        <v>7</v>
      </c>
      <c r="B26" s="8" t="s">
        <v>29</v>
      </c>
      <c r="C26" s="8" t="s">
        <v>30</v>
      </c>
      <c r="D26" s="8" t="s">
        <v>49</v>
      </c>
      <c r="E26" s="9" t="s">
        <v>50</v>
      </c>
      <c r="F26" s="19">
        <v>1</v>
      </c>
      <c r="G26" s="16" t="s">
        <v>17</v>
      </c>
      <c r="H26" s="99"/>
      <c r="I26" s="94">
        <v>2500</v>
      </c>
      <c r="J26" s="10">
        <f>F26*$I26</f>
        <v>2500</v>
      </c>
      <c r="K26" s="2"/>
      <c r="L26" s="19"/>
      <c r="M26" s="10">
        <f>L26*$I26</f>
        <v>0</v>
      </c>
      <c r="N26" s="2"/>
      <c r="O26" s="19">
        <f>F26-L26</f>
        <v>1</v>
      </c>
      <c r="P26" s="10"/>
      <c r="R26" s="61"/>
      <c r="S26" s="2"/>
      <c r="T26" s="19">
        <v>1</v>
      </c>
      <c r="U26" s="10">
        <f>T26*$I26</f>
        <v>2500</v>
      </c>
      <c r="X26" s="19">
        <v>3000</v>
      </c>
      <c r="Y26" s="10">
        <f t="shared" si="2"/>
        <v>0</v>
      </c>
      <c r="AA26" s="19"/>
      <c r="AB26" s="10">
        <f t="shared" si="3"/>
        <v>0</v>
      </c>
    </row>
    <row r="27" spans="1:28" ht="90" x14ac:dyDescent="0.25">
      <c r="A27" s="7" t="s">
        <v>7</v>
      </c>
      <c r="B27" s="8" t="s">
        <v>29</v>
      </c>
      <c r="C27" s="8" t="s">
        <v>30</v>
      </c>
      <c r="D27" s="8" t="s">
        <v>51</v>
      </c>
      <c r="E27" s="9" t="s">
        <v>52</v>
      </c>
      <c r="F27" s="19">
        <v>1</v>
      </c>
      <c r="G27" s="16" t="s">
        <v>22</v>
      </c>
      <c r="H27" s="99"/>
      <c r="I27" s="94">
        <v>6500</v>
      </c>
      <c r="J27" s="10">
        <f>F27*$I27</f>
        <v>6500</v>
      </c>
      <c r="K27" s="2"/>
      <c r="L27" s="19"/>
      <c r="M27" s="10">
        <f>L27*$I27</f>
        <v>0</v>
      </c>
      <c r="N27" s="2"/>
      <c r="O27" s="19">
        <f>F27-L27</f>
        <v>1</v>
      </c>
      <c r="P27" s="10"/>
      <c r="R27" s="61"/>
      <c r="S27" s="2"/>
      <c r="T27" s="19">
        <v>1</v>
      </c>
      <c r="U27" s="10">
        <f>T27*$I27</f>
        <v>6500</v>
      </c>
      <c r="X27" s="19">
        <v>4000</v>
      </c>
      <c r="Y27" s="10">
        <f t="shared" si="2"/>
        <v>0</v>
      </c>
      <c r="AA27" s="19"/>
      <c r="AB27" s="10">
        <f t="shared" si="3"/>
        <v>0</v>
      </c>
    </row>
    <row r="28" spans="1:28" ht="30" x14ac:dyDescent="0.25">
      <c r="A28" s="7" t="s">
        <v>7</v>
      </c>
      <c r="B28" s="8" t="s">
        <v>29</v>
      </c>
      <c r="C28" s="8" t="s">
        <v>30</v>
      </c>
      <c r="D28" s="8" t="s">
        <v>53</v>
      </c>
      <c r="E28" s="9" t="s">
        <v>54</v>
      </c>
      <c r="F28" s="19">
        <v>1</v>
      </c>
      <c r="G28" s="16" t="s">
        <v>17</v>
      </c>
      <c r="H28" s="99"/>
      <c r="I28" s="94">
        <v>1500</v>
      </c>
      <c r="J28" s="10">
        <f>F28*$I28</f>
        <v>1500</v>
      </c>
      <c r="K28" s="2"/>
      <c r="L28" s="19"/>
      <c r="M28" s="10">
        <f>L28*$I28</f>
        <v>0</v>
      </c>
      <c r="N28" s="2"/>
      <c r="O28" s="19">
        <f>F28-L28</f>
        <v>1</v>
      </c>
      <c r="P28" s="10"/>
      <c r="R28" s="61"/>
      <c r="S28" s="2"/>
      <c r="T28" s="19">
        <v>1</v>
      </c>
      <c r="U28" s="10">
        <f>T28*$I28</f>
        <v>1500</v>
      </c>
      <c r="X28" s="19">
        <v>3000</v>
      </c>
      <c r="Y28" s="10">
        <f t="shared" si="2"/>
        <v>0</v>
      </c>
      <c r="AA28" s="19"/>
      <c r="AB28" s="10">
        <f t="shared" si="3"/>
        <v>0</v>
      </c>
    </row>
    <row r="29" spans="1:28" ht="30" x14ac:dyDescent="0.25">
      <c r="A29" s="7" t="s">
        <v>7</v>
      </c>
      <c r="B29" s="8" t="s">
        <v>29</v>
      </c>
      <c r="C29" s="8" t="s">
        <v>30</v>
      </c>
      <c r="D29" s="8" t="s">
        <v>55</v>
      </c>
      <c r="E29" s="9" t="s">
        <v>56</v>
      </c>
      <c r="F29" s="19">
        <v>1</v>
      </c>
      <c r="G29" s="16" t="s">
        <v>17</v>
      </c>
      <c r="H29" s="99"/>
      <c r="I29" s="94">
        <v>500</v>
      </c>
      <c r="J29" s="10">
        <f>F29*$I29</f>
        <v>500</v>
      </c>
      <c r="K29" s="2"/>
      <c r="L29" s="19"/>
      <c r="M29" s="10">
        <f>L29*$I29</f>
        <v>0</v>
      </c>
      <c r="N29" s="2"/>
      <c r="O29" s="19">
        <f>F29-L29</f>
        <v>1</v>
      </c>
      <c r="P29" s="10"/>
      <c r="R29" s="61"/>
      <c r="S29" s="2"/>
      <c r="T29" s="19">
        <v>1</v>
      </c>
      <c r="U29" s="10">
        <f>T29*$I29</f>
        <v>500</v>
      </c>
      <c r="X29" s="19">
        <v>6000</v>
      </c>
      <c r="Y29" s="10">
        <f t="shared" si="2"/>
        <v>0</v>
      </c>
      <c r="AA29" s="19"/>
      <c r="AB29" s="10">
        <f t="shared" si="3"/>
        <v>0</v>
      </c>
    </row>
    <row r="30" spans="1:28" ht="30" x14ac:dyDescent="0.25">
      <c r="A30" s="7" t="s">
        <v>7</v>
      </c>
      <c r="B30" s="8" t="s">
        <v>29</v>
      </c>
      <c r="C30" s="8" t="s">
        <v>30</v>
      </c>
      <c r="D30" s="8" t="s">
        <v>57</v>
      </c>
      <c r="E30" s="9" t="s">
        <v>56</v>
      </c>
      <c r="F30" s="19">
        <v>1</v>
      </c>
      <c r="G30" s="16" t="s">
        <v>17</v>
      </c>
      <c r="H30" s="99"/>
      <c r="I30" s="94">
        <v>500</v>
      </c>
      <c r="J30" s="10">
        <f>F30*$I30</f>
        <v>500</v>
      </c>
      <c r="K30" s="2"/>
      <c r="L30" s="19"/>
      <c r="M30" s="10">
        <f>L30*$I30</f>
        <v>0</v>
      </c>
      <c r="N30" s="2"/>
      <c r="O30" s="19">
        <f>F30-L30</f>
        <v>1</v>
      </c>
      <c r="P30" s="10"/>
      <c r="R30" s="61"/>
      <c r="S30" s="2"/>
      <c r="T30" s="19">
        <v>1</v>
      </c>
      <c r="U30" s="10">
        <f>T30*$I30</f>
        <v>500</v>
      </c>
      <c r="X30" s="19">
        <v>6000</v>
      </c>
      <c r="Y30" s="10">
        <f t="shared" si="2"/>
        <v>0</v>
      </c>
      <c r="AA30" s="19"/>
      <c r="AB30" s="10">
        <f t="shared" si="3"/>
        <v>0</v>
      </c>
    </row>
    <row r="31" spans="1:28" ht="45" x14ac:dyDescent="0.25">
      <c r="A31" s="7" t="s">
        <v>7</v>
      </c>
      <c r="B31" s="8" t="s">
        <v>29</v>
      </c>
      <c r="C31" s="8" t="s">
        <v>30</v>
      </c>
      <c r="D31" s="8" t="s">
        <v>58</v>
      </c>
      <c r="E31" s="9" t="s">
        <v>59</v>
      </c>
      <c r="F31" s="19">
        <v>1</v>
      </c>
      <c r="G31" s="16" t="s">
        <v>17</v>
      </c>
      <c r="H31" s="99"/>
      <c r="I31" s="94">
        <v>12500</v>
      </c>
      <c r="J31" s="10">
        <f>F31*$I31</f>
        <v>12500</v>
      </c>
      <c r="K31" s="2"/>
      <c r="L31" s="19"/>
      <c r="M31" s="10">
        <f>L31*$I31</f>
        <v>0</v>
      </c>
      <c r="N31" s="2"/>
      <c r="O31" s="19">
        <f>F31-L31</f>
        <v>1</v>
      </c>
      <c r="P31" s="10"/>
      <c r="R31" s="61"/>
      <c r="S31" s="2"/>
      <c r="T31" s="19">
        <v>1</v>
      </c>
      <c r="U31" s="10">
        <f>T31*$I31</f>
        <v>12500</v>
      </c>
      <c r="X31" s="19">
        <v>7500</v>
      </c>
      <c r="Y31" s="10">
        <f t="shared" si="2"/>
        <v>0</v>
      </c>
      <c r="AA31" s="19"/>
      <c r="AB31" s="10">
        <f t="shared" si="3"/>
        <v>0</v>
      </c>
    </row>
    <row r="32" spans="1:28" ht="45" x14ac:dyDescent="0.25">
      <c r="A32" s="7" t="s">
        <v>7</v>
      </c>
      <c r="B32" s="8" t="s">
        <v>29</v>
      </c>
      <c r="C32" s="8" t="s">
        <v>30</v>
      </c>
      <c r="D32" s="8" t="s">
        <v>60</v>
      </c>
      <c r="E32" s="9" t="s">
        <v>61</v>
      </c>
      <c r="F32" s="19">
        <v>1</v>
      </c>
      <c r="G32" s="16" t="s">
        <v>17</v>
      </c>
      <c r="H32" s="99"/>
      <c r="I32" s="94">
        <v>15000</v>
      </c>
      <c r="J32" s="10">
        <f>F32*$I32</f>
        <v>15000</v>
      </c>
      <c r="K32" s="2"/>
      <c r="L32" s="19"/>
      <c r="M32" s="10">
        <f>L32*$I32</f>
        <v>0</v>
      </c>
      <c r="N32" s="2"/>
      <c r="O32" s="19">
        <f>F32-L32</f>
        <v>1</v>
      </c>
      <c r="P32" s="10"/>
      <c r="R32" s="61"/>
      <c r="S32" s="2"/>
      <c r="T32" s="19">
        <v>1</v>
      </c>
      <c r="U32" s="10">
        <f>T32*$I32</f>
        <v>15000</v>
      </c>
      <c r="X32" s="19">
        <v>5000</v>
      </c>
      <c r="Y32" s="10">
        <f>X32*$F32</f>
        <v>0</v>
      </c>
      <c r="AA32" s="19"/>
      <c r="AB32" s="10">
        <f>AA32*$F32</f>
        <v>0</v>
      </c>
    </row>
    <row r="33" spans="1:28" ht="30" customHeight="1" x14ac:dyDescent="0.25">
      <c r="A33" s="33"/>
      <c r="B33" s="34"/>
      <c r="C33" s="34"/>
      <c r="D33" s="34"/>
      <c r="E33" s="39" t="s">
        <v>157</v>
      </c>
      <c r="F33" s="36"/>
      <c r="G33" s="38" t="s">
        <v>156</v>
      </c>
      <c r="H33" s="99"/>
      <c r="I33" s="35"/>
      <c r="J33" s="37">
        <f>SUM(J17:J32)</f>
        <v>85087.5</v>
      </c>
      <c r="K33" s="2"/>
      <c r="L33" s="36"/>
      <c r="M33" s="37">
        <f>54449+100000</f>
        <v>154449</v>
      </c>
      <c r="N33" s="2"/>
      <c r="O33" s="36"/>
      <c r="P33" s="37"/>
      <c r="R33" s="61"/>
      <c r="S33" s="2"/>
      <c r="T33" s="36"/>
      <c r="U33" s="37">
        <f>SUM(U17:U32)</f>
        <v>85087.5</v>
      </c>
      <c r="X33" s="36"/>
      <c r="Y33" s="37">
        <f>SUM(Y17:Y32)</f>
        <v>0</v>
      </c>
      <c r="AA33" s="36"/>
      <c r="AB33" s="37">
        <f>SUM(AB17:AB32)</f>
        <v>0</v>
      </c>
    </row>
    <row r="34" spans="1:28" ht="45" x14ac:dyDescent="0.25">
      <c r="A34" s="7" t="s">
        <v>7</v>
      </c>
      <c r="B34" s="8" t="s">
        <v>62</v>
      </c>
      <c r="C34" s="8" t="s">
        <v>63</v>
      </c>
      <c r="D34" s="8" t="s">
        <v>31</v>
      </c>
      <c r="E34" s="9" t="s">
        <v>64</v>
      </c>
      <c r="F34" s="19">
        <v>1</v>
      </c>
      <c r="G34" s="16" t="s">
        <v>17</v>
      </c>
      <c r="H34" s="99"/>
      <c r="I34" s="94">
        <v>1000</v>
      </c>
      <c r="J34" s="10">
        <f>F34*$I34</f>
        <v>1000</v>
      </c>
      <c r="K34" s="2"/>
      <c r="L34" s="19"/>
      <c r="M34" s="10">
        <f>L34*$I34</f>
        <v>0</v>
      </c>
      <c r="N34" s="2"/>
      <c r="O34" s="19">
        <f>F34-L34</f>
        <v>1</v>
      </c>
      <c r="P34" s="10"/>
      <c r="R34" s="61"/>
      <c r="S34" s="2"/>
      <c r="T34" s="19">
        <v>1</v>
      </c>
      <c r="U34" s="10">
        <f>T34*$I34</f>
        <v>1000</v>
      </c>
      <c r="X34" s="19">
        <v>9000</v>
      </c>
      <c r="Y34" s="10">
        <f>X34*$F34</f>
        <v>0</v>
      </c>
      <c r="AA34" s="19"/>
      <c r="AB34" s="10">
        <f>AA34*$F34</f>
        <v>0</v>
      </c>
    </row>
    <row r="35" spans="1:28" ht="120" x14ac:dyDescent="0.25">
      <c r="A35" s="7" t="s">
        <v>7</v>
      </c>
      <c r="B35" s="8" t="s">
        <v>62</v>
      </c>
      <c r="C35" s="8" t="s">
        <v>63</v>
      </c>
      <c r="D35" s="8" t="s">
        <v>65</v>
      </c>
      <c r="E35" s="9" t="s">
        <v>66</v>
      </c>
      <c r="F35" s="19">
        <v>1</v>
      </c>
      <c r="G35" s="16" t="s">
        <v>22</v>
      </c>
      <c r="H35" s="99"/>
      <c r="I35" s="94">
        <v>1000</v>
      </c>
      <c r="J35" s="10">
        <f>F35*$I35</f>
        <v>1000</v>
      </c>
      <c r="K35" s="2"/>
      <c r="L35" s="19"/>
      <c r="M35" s="10">
        <f>L35*$I35</f>
        <v>0</v>
      </c>
      <c r="N35" s="2"/>
      <c r="O35" s="19">
        <f>F35-L35</f>
        <v>1</v>
      </c>
      <c r="P35" s="10"/>
      <c r="R35" s="61"/>
      <c r="S35" s="2"/>
      <c r="T35" s="19">
        <v>1</v>
      </c>
      <c r="U35" s="10">
        <f>T35*$I35</f>
        <v>1000</v>
      </c>
      <c r="X35" s="19">
        <v>1000</v>
      </c>
      <c r="Y35" s="10">
        <f t="shared" ref="Y35:Y37" si="4">X35*$F35</f>
        <v>0</v>
      </c>
      <c r="AA35" s="19"/>
      <c r="AB35" s="10">
        <f t="shared" ref="AB35:AB37" si="5">AA35*$F35</f>
        <v>0</v>
      </c>
    </row>
    <row r="36" spans="1:28" ht="60" x14ac:dyDescent="0.25">
      <c r="A36" s="7" t="s">
        <v>7</v>
      </c>
      <c r="B36" s="8" t="s">
        <v>62</v>
      </c>
      <c r="C36" s="8" t="s">
        <v>63</v>
      </c>
      <c r="D36" s="8" t="s">
        <v>67</v>
      </c>
      <c r="E36" s="9" t="s">
        <v>68</v>
      </c>
      <c r="F36" s="19">
        <v>4320</v>
      </c>
      <c r="G36" s="16" t="s">
        <v>69</v>
      </c>
      <c r="H36" s="99"/>
      <c r="I36" s="94">
        <v>3</v>
      </c>
      <c r="J36" s="10">
        <f>F36*$I36</f>
        <v>12960</v>
      </c>
      <c r="K36" s="2"/>
      <c r="L36" s="19"/>
      <c r="M36" s="10">
        <f>L36*$I36</f>
        <v>0</v>
      </c>
      <c r="N36" s="2"/>
      <c r="O36" s="19">
        <f>F36-L36</f>
        <v>4320</v>
      </c>
      <c r="P36" s="10"/>
      <c r="R36" s="61"/>
      <c r="S36" s="2"/>
      <c r="T36" s="19">
        <v>4320</v>
      </c>
      <c r="U36" s="10">
        <f>T36*$I36</f>
        <v>12960</v>
      </c>
      <c r="X36" s="19">
        <v>2</v>
      </c>
      <c r="Y36" s="10">
        <f t="shared" si="4"/>
        <v>0</v>
      </c>
      <c r="AA36" s="19"/>
      <c r="AB36" s="10">
        <f t="shared" si="5"/>
        <v>0</v>
      </c>
    </row>
    <row r="37" spans="1:28" ht="45" x14ac:dyDescent="0.25">
      <c r="A37" s="7" t="s">
        <v>7</v>
      </c>
      <c r="B37" s="8" t="s">
        <v>62</v>
      </c>
      <c r="C37" s="8" t="s">
        <v>63</v>
      </c>
      <c r="D37" s="8" t="s">
        <v>70</v>
      </c>
      <c r="E37" s="9" t="s">
        <v>71</v>
      </c>
      <c r="F37" s="19">
        <v>1</v>
      </c>
      <c r="G37" s="16" t="s">
        <v>17</v>
      </c>
      <c r="H37" s="99"/>
      <c r="I37" s="94">
        <v>2000</v>
      </c>
      <c r="J37" s="10">
        <f>F37*$I37</f>
        <v>2000</v>
      </c>
      <c r="K37" s="2"/>
      <c r="L37" s="19"/>
      <c r="M37" s="10">
        <f>L37*$I37</f>
        <v>0</v>
      </c>
      <c r="N37" s="2"/>
      <c r="O37" s="19">
        <f>F37-L37</f>
        <v>1</v>
      </c>
      <c r="P37" s="10"/>
      <c r="R37" s="61"/>
      <c r="S37" s="2"/>
      <c r="T37" s="19">
        <v>1</v>
      </c>
      <c r="U37" s="10">
        <f>T37*$I37</f>
        <v>2000</v>
      </c>
      <c r="X37" s="19">
        <v>3000</v>
      </c>
      <c r="Y37" s="10">
        <f t="shared" si="4"/>
        <v>0</v>
      </c>
      <c r="AA37" s="19"/>
      <c r="AB37" s="10">
        <f t="shared" si="5"/>
        <v>0</v>
      </c>
    </row>
    <row r="38" spans="1:28" ht="30" customHeight="1" x14ac:dyDescent="0.25">
      <c r="A38" s="33"/>
      <c r="B38" s="34"/>
      <c r="C38" s="34"/>
      <c r="D38" s="34"/>
      <c r="E38" s="39" t="s">
        <v>158</v>
      </c>
      <c r="F38" s="36"/>
      <c r="G38" s="38" t="s">
        <v>156</v>
      </c>
      <c r="H38" s="99"/>
      <c r="I38" s="35"/>
      <c r="J38" s="37">
        <f>SUM(J34:J37)</f>
        <v>16960</v>
      </c>
      <c r="K38" s="2"/>
      <c r="L38" s="36"/>
      <c r="M38" s="37">
        <v>10000</v>
      </c>
      <c r="N38" s="2"/>
      <c r="O38" s="36"/>
      <c r="P38" s="37"/>
      <c r="R38" s="61"/>
      <c r="S38" s="2"/>
      <c r="T38" s="36"/>
      <c r="U38" s="37">
        <f>SUM(U34:U37)</f>
        <v>16960</v>
      </c>
      <c r="X38" s="36"/>
      <c r="Y38" s="37">
        <f>SUM(Y34:Y37)</f>
        <v>0</v>
      </c>
      <c r="AA38" s="36"/>
      <c r="AB38" s="37">
        <f>SUM(AB34:AB37)</f>
        <v>0</v>
      </c>
    </row>
    <row r="39" spans="1:28" ht="45" x14ac:dyDescent="0.25">
      <c r="A39" s="7" t="s">
        <v>7</v>
      </c>
      <c r="B39" s="8" t="s">
        <v>72</v>
      </c>
      <c r="C39" s="8" t="s">
        <v>73</v>
      </c>
      <c r="D39" s="8" t="s">
        <v>74</v>
      </c>
      <c r="E39" s="9" t="s">
        <v>75</v>
      </c>
      <c r="F39" s="19">
        <v>2543</v>
      </c>
      <c r="G39" s="16" t="s">
        <v>76</v>
      </c>
      <c r="H39" s="99"/>
      <c r="I39" s="94">
        <v>5</v>
      </c>
      <c r="J39" s="10">
        <f>F39*$I39</f>
        <v>12715</v>
      </c>
      <c r="K39" s="2"/>
      <c r="L39" s="19">
        <v>1300</v>
      </c>
      <c r="M39" s="10">
        <f>L39*$I39</f>
        <v>6500</v>
      </c>
      <c r="N39" s="2"/>
      <c r="O39" s="19">
        <f>F39-L39</f>
        <v>1243</v>
      </c>
      <c r="P39" s="58">
        <f>(F39-L39)/L39</f>
        <v>0.95615384615384613</v>
      </c>
      <c r="R39" s="61"/>
      <c r="S39" s="2"/>
      <c r="T39" s="19">
        <v>2543</v>
      </c>
      <c r="U39" s="10">
        <f>T39*$I39</f>
        <v>12715</v>
      </c>
      <c r="X39" s="19">
        <v>4</v>
      </c>
      <c r="Y39" s="10">
        <f>X39*$F39</f>
        <v>0</v>
      </c>
      <c r="AA39" s="19"/>
      <c r="AB39" s="10">
        <f>AA39*$F39</f>
        <v>0</v>
      </c>
    </row>
    <row r="40" spans="1:28" ht="60" x14ac:dyDescent="0.25">
      <c r="A40" s="7" t="s">
        <v>7</v>
      </c>
      <c r="B40" s="8" t="s">
        <v>72</v>
      </c>
      <c r="C40" s="8" t="s">
        <v>73</v>
      </c>
      <c r="D40" s="8" t="s">
        <v>77</v>
      </c>
      <c r="E40" s="9" t="s">
        <v>78</v>
      </c>
      <c r="F40" s="19">
        <v>1860</v>
      </c>
      <c r="G40" s="16" t="s">
        <v>76</v>
      </c>
      <c r="H40" s="99"/>
      <c r="I40" s="94">
        <v>5</v>
      </c>
      <c r="J40" s="10">
        <f>F40*$I40</f>
        <v>9300</v>
      </c>
      <c r="K40" s="2"/>
      <c r="L40" s="19"/>
      <c r="M40" s="10">
        <f>L40*$I40</f>
        <v>0</v>
      </c>
      <c r="N40" s="2"/>
      <c r="O40" s="19">
        <f>F40-L40</f>
        <v>1860</v>
      </c>
      <c r="P40" s="58"/>
      <c r="R40" s="61"/>
      <c r="S40" s="2"/>
      <c r="T40" s="19">
        <v>1860</v>
      </c>
      <c r="U40" s="10">
        <f>T40*$I40</f>
        <v>9300</v>
      </c>
      <c r="X40" s="19">
        <v>4</v>
      </c>
      <c r="Y40" s="10">
        <f t="shared" ref="Y40:Y76" si="6">X40*$F40</f>
        <v>0</v>
      </c>
      <c r="AA40" s="19"/>
      <c r="AB40" s="10">
        <f t="shared" ref="AB40:AB76" si="7">AA40*$F40</f>
        <v>0</v>
      </c>
    </row>
    <row r="41" spans="1:28" ht="30" x14ac:dyDescent="0.25">
      <c r="A41" s="7" t="s">
        <v>7</v>
      </c>
      <c r="B41" s="8" t="s">
        <v>72</v>
      </c>
      <c r="C41" s="8" t="s">
        <v>73</v>
      </c>
      <c r="D41" s="8" t="s">
        <v>79</v>
      </c>
      <c r="E41" s="9" t="s">
        <v>80</v>
      </c>
      <c r="F41" s="19">
        <v>420</v>
      </c>
      <c r="G41" s="16" t="s">
        <v>76</v>
      </c>
      <c r="H41" s="99"/>
      <c r="I41" s="94">
        <v>7</v>
      </c>
      <c r="J41" s="10">
        <f>F41*$I41</f>
        <v>2940</v>
      </c>
      <c r="K41" s="2"/>
      <c r="L41" s="19">
        <v>1160</v>
      </c>
      <c r="M41" s="10">
        <f>L41*$I41</f>
        <v>8120</v>
      </c>
      <c r="N41" s="2"/>
      <c r="O41" s="19">
        <f>F41-L41</f>
        <v>-740</v>
      </c>
      <c r="P41" s="58">
        <f>(F41-L41)/L41</f>
        <v>-0.63793103448275867</v>
      </c>
      <c r="R41" s="61"/>
      <c r="S41" s="2"/>
      <c r="T41" s="19">
        <v>420</v>
      </c>
      <c r="U41" s="10">
        <f>T41*$I41</f>
        <v>2940</v>
      </c>
      <c r="X41" s="19">
        <v>5</v>
      </c>
      <c r="Y41" s="10">
        <f t="shared" si="6"/>
        <v>0</v>
      </c>
      <c r="AA41" s="19"/>
      <c r="AB41" s="10">
        <f t="shared" si="7"/>
        <v>0</v>
      </c>
    </row>
    <row r="42" spans="1:28" ht="45" x14ac:dyDescent="0.25">
      <c r="A42" s="7" t="s">
        <v>7</v>
      </c>
      <c r="B42" s="8" t="s">
        <v>72</v>
      </c>
      <c r="C42" s="8" t="s">
        <v>73</v>
      </c>
      <c r="D42" s="8" t="s">
        <v>81</v>
      </c>
      <c r="E42" s="9" t="s">
        <v>82</v>
      </c>
      <c r="F42" s="19">
        <v>7808</v>
      </c>
      <c r="G42" s="16" t="s">
        <v>76</v>
      </c>
      <c r="H42" s="99"/>
      <c r="I42" s="94">
        <v>10</v>
      </c>
      <c r="J42" s="10">
        <f>F42*$I42</f>
        <v>78080</v>
      </c>
      <c r="K42" s="2"/>
      <c r="L42" s="19">
        <v>11865</v>
      </c>
      <c r="M42" s="10">
        <f>L42*$I42</f>
        <v>118650</v>
      </c>
      <c r="N42" s="2"/>
      <c r="O42" s="19">
        <f>F42-L42</f>
        <v>-4057</v>
      </c>
      <c r="P42" s="58">
        <f>(F42-L42)/L42</f>
        <v>-0.3419300463548251</v>
      </c>
      <c r="R42" s="61"/>
      <c r="S42" s="2"/>
      <c r="T42" s="19">
        <v>7808</v>
      </c>
      <c r="U42" s="10">
        <f>T42*$I42</f>
        <v>78080</v>
      </c>
      <c r="X42" s="19">
        <v>3.5</v>
      </c>
      <c r="Y42" s="10">
        <f t="shared" si="6"/>
        <v>0</v>
      </c>
      <c r="AA42" s="19"/>
      <c r="AB42" s="10">
        <f t="shared" si="7"/>
        <v>0</v>
      </c>
    </row>
    <row r="43" spans="1:28" ht="75" x14ac:dyDescent="0.25">
      <c r="A43" s="7" t="s">
        <v>7</v>
      </c>
      <c r="B43" s="8" t="s">
        <v>72</v>
      </c>
      <c r="C43" s="8" t="s">
        <v>73</v>
      </c>
      <c r="D43" s="8" t="s">
        <v>83</v>
      </c>
      <c r="E43" s="9" t="s">
        <v>165</v>
      </c>
      <c r="F43" s="19">
        <v>100</v>
      </c>
      <c r="G43" s="16" t="s">
        <v>17</v>
      </c>
      <c r="H43" s="99"/>
      <c r="I43" s="94">
        <v>20</v>
      </c>
      <c r="J43" s="10">
        <f>F43*$I43</f>
        <v>2000</v>
      </c>
      <c r="K43" s="2"/>
      <c r="L43" s="19">
        <v>0</v>
      </c>
      <c r="M43" s="10">
        <f>L43*$I43</f>
        <v>0</v>
      </c>
      <c r="N43" s="2"/>
      <c r="O43" s="19">
        <f>F43-L43</f>
        <v>100</v>
      </c>
      <c r="P43" s="58"/>
      <c r="R43" s="61"/>
      <c r="S43" s="2"/>
      <c r="T43" s="19">
        <v>100</v>
      </c>
      <c r="U43" s="10">
        <f>T43*$I43</f>
        <v>2000</v>
      </c>
      <c r="X43" s="19">
        <v>18</v>
      </c>
      <c r="Y43" s="10">
        <f t="shared" si="6"/>
        <v>0</v>
      </c>
      <c r="AA43" s="19"/>
      <c r="AB43" s="10">
        <f t="shared" si="7"/>
        <v>0</v>
      </c>
    </row>
    <row r="44" spans="1:28" ht="45" x14ac:dyDescent="0.25">
      <c r="A44" s="7" t="s">
        <v>7</v>
      </c>
      <c r="B44" s="8" t="s">
        <v>72</v>
      </c>
      <c r="C44" s="8" t="s">
        <v>73</v>
      </c>
      <c r="D44" s="8" t="s">
        <v>84</v>
      </c>
      <c r="E44" s="9" t="s">
        <v>85</v>
      </c>
      <c r="F44" s="19">
        <v>341</v>
      </c>
      <c r="G44" s="16" t="s">
        <v>76</v>
      </c>
      <c r="H44" s="99"/>
      <c r="I44" s="94">
        <v>90</v>
      </c>
      <c r="J44" s="10">
        <f>F44*$I44</f>
        <v>30690</v>
      </c>
      <c r="K44" s="2"/>
      <c r="L44" s="19">
        <v>0</v>
      </c>
      <c r="M44" s="10">
        <f>L44*$I44</f>
        <v>0</v>
      </c>
      <c r="N44" s="2"/>
      <c r="O44" s="19">
        <f>F44-L44</f>
        <v>341</v>
      </c>
      <c r="P44" s="58"/>
      <c r="R44" s="61"/>
      <c r="S44" s="2"/>
      <c r="T44" s="19">
        <v>341</v>
      </c>
      <c r="U44" s="10">
        <f>T44*$I44</f>
        <v>30690</v>
      </c>
      <c r="X44" s="19">
        <v>5</v>
      </c>
      <c r="Y44" s="10">
        <f t="shared" si="6"/>
        <v>0</v>
      </c>
      <c r="AA44" s="19"/>
      <c r="AB44" s="10">
        <f t="shared" si="7"/>
        <v>0</v>
      </c>
    </row>
    <row r="45" spans="1:28" ht="45" x14ac:dyDescent="0.25">
      <c r="A45" s="7" t="s">
        <v>7</v>
      </c>
      <c r="B45" s="8" t="s">
        <v>72</v>
      </c>
      <c r="C45" s="8" t="s">
        <v>73</v>
      </c>
      <c r="D45" s="8" t="s">
        <v>86</v>
      </c>
      <c r="E45" s="9" t="s">
        <v>87</v>
      </c>
      <c r="F45" s="19">
        <v>456</v>
      </c>
      <c r="G45" s="16" t="s">
        <v>76</v>
      </c>
      <c r="H45" s="99"/>
      <c r="I45" s="94">
        <v>10</v>
      </c>
      <c r="J45" s="10">
        <f>F45*$I45</f>
        <v>4560</v>
      </c>
      <c r="K45" s="2"/>
      <c r="L45" s="19">
        <v>0</v>
      </c>
      <c r="M45" s="10">
        <f>L45*$I45</f>
        <v>0</v>
      </c>
      <c r="N45" s="2"/>
      <c r="O45" s="19">
        <f>F45-L45</f>
        <v>456</v>
      </c>
      <c r="P45" s="58"/>
      <c r="R45" s="61"/>
      <c r="S45" s="2"/>
      <c r="T45" s="19">
        <v>456</v>
      </c>
      <c r="U45" s="10">
        <f>T45*$I45</f>
        <v>4560</v>
      </c>
      <c r="X45" s="19">
        <v>5</v>
      </c>
      <c r="Y45" s="10">
        <f t="shared" si="6"/>
        <v>0</v>
      </c>
      <c r="AA45" s="19"/>
      <c r="AB45" s="10">
        <f t="shared" si="7"/>
        <v>0</v>
      </c>
    </row>
    <row r="46" spans="1:28" x14ac:dyDescent="0.25">
      <c r="A46" s="7" t="s">
        <v>7</v>
      </c>
      <c r="B46" s="8" t="s">
        <v>72</v>
      </c>
      <c r="C46" s="8" t="s">
        <v>73</v>
      </c>
      <c r="D46" s="8" t="s">
        <v>88</v>
      </c>
      <c r="E46" s="9" t="s">
        <v>89</v>
      </c>
      <c r="F46" s="19">
        <v>10</v>
      </c>
      <c r="G46" s="16" t="s">
        <v>76</v>
      </c>
      <c r="H46" s="99"/>
      <c r="I46" s="94">
        <v>35</v>
      </c>
      <c r="J46" s="10">
        <f>F46*$I46</f>
        <v>350</v>
      </c>
      <c r="K46" s="2"/>
      <c r="L46" s="19"/>
      <c r="M46" s="10">
        <f>L46*$I46</f>
        <v>0</v>
      </c>
      <c r="N46" s="2"/>
      <c r="O46" s="19">
        <f>F46-L46</f>
        <v>10</v>
      </c>
      <c r="P46" s="58"/>
      <c r="R46" s="61"/>
      <c r="S46" s="2"/>
      <c r="T46" s="19">
        <v>10</v>
      </c>
      <c r="U46" s="10">
        <f>T46*$I46</f>
        <v>350</v>
      </c>
      <c r="X46" s="19">
        <v>100</v>
      </c>
      <c r="Y46" s="10">
        <f t="shared" si="6"/>
        <v>0</v>
      </c>
      <c r="AA46" s="19"/>
      <c r="AB46" s="10">
        <f t="shared" si="7"/>
        <v>0</v>
      </c>
    </row>
    <row r="47" spans="1:28" ht="30" x14ac:dyDescent="0.25">
      <c r="A47" s="7" t="s">
        <v>7</v>
      </c>
      <c r="B47" s="8" t="s">
        <v>72</v>
      </c>
      <c r="C47" s="8" t="s">
        <v>73</v>
      </c>
      <c r="D47" s="8" t="s">
        <v>90</v>
      </c>
      <c r="E47" s="9" t="s">
        <v>91</v>
      </c>
      <c r="F47" s="19">
        <v>99</v>
      </c>
      <c r="G47" s="16" t="s">
        <v>76</v>
      </c>
      <c r="H47" s="99"/>
      <c r="I47" s="94">
        <v>10</v>
      </c>
      <c r="J47" s="10">
        <f>F47*$I47</f>
        <v>990</v>
      </c>
      <c r="K47" s="2"/>
      <c r="L47" s="19">
        <v>0</v>
      </c>
      <c r="M47" s="10">
        <f>L47*$I47</f>
        <v>0</v>
      </c>
      <c r="N47" s="2"/>
      <c r="O47" s="19">
        <f>F47-L47</f>
        <v>99</v>
      </c>
      <c r="P47" s="58"/>
      <c r="R47" s="61"/>
      <c r="S47" s="2"/>
      <c r="T47" s="19">
        <v>99</v>
      </c>
      <c r="U47" s="10">
        <f>T47*$I47</f>
        <v>990</v>
      </c>
      <c r="X47" s="19">
        <v>10</v>
      </c>
      <c r="Y47" s="10">
        <f t="shared" si="6"/>
        <v>0</v>
      </c>
      <c r="AA47" s="19"/>
      <c r="AB47" s="10">
        <f t="shared" si="7"/>
        <v>0</v>
      </c>
    </row>
    <row r="48" spans="1:28" x14ac:dyDescent="0.25">
      <c r="A48" s="7" t="s">
        <v>7</v>
      </c>
      <c r="B48" s="8" t="s">
        <v>72</v>
      </c>
      <c r="C48" s="8" t="s">
        <v>73</v>
      </c>
      <c r="D48" s="8" t="s">
        <v>92</v>
      </c>
      <c r="E48" s="9" t="s">
        <v>93</v>
      </c>
      <c r="F48" s="19">
        <v>11037</v>
      </c>
      <c r="G48" s="16" t="s">
        <v>94</v>
      </c>
      <c r="H48" s="99"/>
      <c r="I48" s="94">
        <v>1.5</v>
      </c>
      <c r="J48" s="10">
        <f>F48*$I48</f>
        <v>16555.5</v>
      </c>
      <c r="K48" s="2"/>
      <c r="L48" s="19">
        <v>11174</v>
      </c>
      <c r="M48" s="10">
        <f>L48*$I48</f>
        <v>16761</v>
      </c>
      <c r="N48" s="2"/>
      <c r="O48" s="19">
        <f>F48-L48</f>
        <v>-137</v>
      </c>
      <c r="P48" s="58">
        <f>(F48-L48)/L48</f>
        <v>-1.2260604975836763E-2</v>
      </c>
      <c r="R48" s="61"/>
      <c r="S48" s="2"/>
      <c r="T48" s="19">
        <v>11037</v>
      </c>
      <c r="U48" s="10">
        <f>T48*$I48</f>
        <v>16555.5</v>
      </c>
      <c r="X48" s="19">
        <v>0.8</v>
      </c>
      <c r="Y48" s="10">
        <f t="shared" si="6"/>
        <v>0</v>
      </c>
      <c r="AA48" s="19"/>
      <c r="AB48" s="10">
        <f t="shared" si="7"/>
        <v>0</v>
      </c>
    </row>
    <row r="49" spans="1:28" ht="60" x14ac:dyDescent="0.25">
      <c r="A49" s="7" t="s">
        <v>7</v>
      </c>
      <c r="B49" s="8" t="s">
        <v>72</v>
      </c>
      <c r="C49" s="8" t="s">
        <v>73</v>
      </c>
      <c r="D49" s="8" t="s">
        <v>95</v>
      </c>
      <c r="E49" s="9" t="s">
        <v>96</v>
      </c>
      <c r="F49" s="19">
        <v>65</v>
      </c>
      <c r="G49" s="16" t="s">
        <v>17</v>
      </c>
      <c r="H49" s="99"/>
      <c r="I49" s="94">
        <v>25</v>
      </c>
      <c r="J49" s="10">
        <f>F49*$I49</f>
        <v>1625</v>
      </c>
      <c r="K49" s="2"/>
      <c r="L49" s="19">
        <v>0</v>
      </c>
      <c r="M49" s="10">
        <f>L49*$I49</f>
        <v>0</v>
      </c>
      <c r="N49" s="2"/>
      <c r="O49" s="19">
        <f>F49-L49</f>
        <v>65</v>
      </c>
      <c r="P49" s="58"/>
      <c r="R49" s="61"/>
      <c r="S49" s="2"/>
      <c r="T49" s="19">
        <v>65</v>
      </c>
      <c r="U49" s="10">
        <f>T49*$I49</f>
        <v>1625</v>
      </c>
      <c r="X49" s="19">
        <v>10</v>
      </c>
      <c r="Y49" s="10">
        <f t="shared" si="6"/>
        <v>0</v>
      </c>
      <c r="AA49" s="19"/>
      <c r="AB49" s="10">
        <f t="shared" si="7"/>
        <v>0</v>
      </c>
    </row>
    <row r="50" spans="1:28" ht="60" x14ac:dyDescent="0.25">
      <c r="A50" s="7" t="s">
        <v>7</v>
      </c>
      <c r="B50" s="8" t="s">
        <v>72</v>
      </c>
      <c r="C50" s="8" t="s">
        <v>73</v>
      </c>
      <c r="D50" s="8" t="s">
        <v>97</v>
      </c>
      <c r="E50" s="9" t="s">
        <v>98</v>
      </c>
      <c r="F50" s="19">
        <v>100</v>
      </c>
      <c r="G50" s="16" t="s">
        <v>76</v>
      </c>
      <c r="H50" s="99"/>
      <c r="I50" s="94">
        <v>85</v>
      </c>
      <c r="J50" s="10">
        <f>F50*$I50</f>
        <v>8500</v>
      </c>
      <c r="K50" s="2"/>
      <c r="L50" s="19">
        <v>0</v>
      </c>
      <c r="M50" s="10">
        <f>L50*$I50</f>
        <v>0</v>
      </c>
      <c r="N50" s="2"/>
      <c r="O50" s="19">
        <f>F50-L50</f>
        <v>100</v>
      </c>
      <c r="P50" s="58"/>
      <c r="R50" s="61"/>
      <c r="S50" s="2"/>
      <c r="T50" s="19">
        <v>100</v>
      </c>
      <c r="U50" s="10">
        <f>T50*$I50</f>
        <v>8500</v>
      </c>
      <c r="X50" s="19">
        <v>90</v>
      </c>
      <c r="Y50" s="10">
        <f t="shared" si="6"/>
        <v>0</v>
      </c>
      <c r="AA50" s="19"/>
      <c r="AB50" s="10">
        <f t="shared" si="7"/>
        <v>0</v>
      </c>
    </row>
    <row r="51" spans="1:28" ht="75" x14ac:dyDescent="0.25">
      <c r="A51" s="7" t="s">
        <v>7</v>
      </c>
      <c r="B51" s="8" t="s">
        <v>72</v>
      </c>
      <c r="C51" s="8" t="s">
        <v>73</v>
      </c>
      <c r="D51" s="8" t="s">
        <v>99</v>
      </c>
      <c r="E51" s="9" t="s">
        <v>100</v>
      </c>
      <c r="F51" s="19">
        <v>11037</v>
      </c>
      <c r="G51" s="16" t="s">
        <v>94</v>
      </c>
      <c r="H51" s="99"/>
      <c r="I51" s="94">
        <v>21.5</v>
      </c>
      <c r="J51" s="10">
        <f>F51*$I51</f>
        <v>237295.5</v>
      </c>
      <c r="K51" s="2"/>
      <c r="L51" s="19">
        <f>11174/2</f>
        <v>5587</v>
      </c>
      <c r="M51" s="10">
        <f>L51*$I51</f>
        <v>120120.5</v>
      </c>
      <c r="N51" s="2"/>
      <c r="O51" s="19">
        <f>F51-L51</f>
        <v>5450</v>
      </c>
      <c r="P51" s="58">
        <f>(F51-L51)/L51</f>
        <v>0.97547879004832649</v>
      </c>
      <c r="R51" s="61" t="s">
        <v>175</v>
      </c>
      <c r="S51" s="2"/>
      <c r="T51" s="19">
        <v>1152</v>
      </c>
      <c r="U51" s="10">
        <f>T51*$I51</f>
        <v>24768</v>
      </c>
      <c r="X51" s="19">
        <v>28</v>
      </c>
      <c r="Y51" s="10">
        <f t="shared" si="6"/>
        <v>0</v>
      </c>
      <c r="AA51" s="19"/>
      <c r="AB51" s="10">
        <f t="shared" si="7"/>
        <v>0</v>
      </c>
    </row>
    <row r="52" spans="1:28" ht="60" x14ac:dyDescent="0.25">
      <c r="A52" s="7" t="s">
        <v>7</v>
      </c>
      <c r="B52" s="8" t="s">
        <v>72</v>
      </c>
      <c r="C52" s="8" t="s">
        <v>73</v>
      </c>
      <c r="D52" s="8" t="s">
        <v>101</v>
      </c>
      <c r="E52" s="9" t="s">
        <v>166</v>
      </c>
      <c r="F52" s="19">
        <v>39</v>
      </c>
      <c r="G52" s="16" t="s">
        <v>76</v>
      </c>
      <c r="H52" s="99"/>
      <c r="I52" s="94">
        <v>185</v>
      </c>
      <c r="J52" s="10">
        <f>F52*$I52</f>
        <v>7215</v>
      </c>
      <c r="K52" s="2"/>
      <c r="L52" s="19">
        <v>0</v>
      </c>
      <c r="M52" s="10">
        <f>L52*$I52</f>
        <v>0</v>
      </c>
      <c r="N52" s="2"/>
      <c r="O52" s="19">
        <f>F52-L52</f>
        <v>39</v>
      </c>
      <c r="P52" s="58"/>
      <c r="R52" s="61"/>
      <c r="S52" s="2"/>
      <c r="T52" s="19">
        <v>39</v>
      </c>
      <c r="U52" s="10">
        <f>T52*$I52</f>
        <v>7215</v>
      </c>
      <c r="X52" s="19">
        <v>390</v>
      </c>
      <c r="Y52" s="10">
        <f t="shared" si="6"/>
        <v>0</v>
      </c>
      <c r="AA52" s="19"/>
      <c r="AB52" s="10">
        <f t="shared" si="7"/>
        <v>0</v>
      </c>
    </row>
    <row r="53" spans="1:28" x14ac:dyDescent="0.25">
      <c r="A53" s="7" t="s">
        <v>7</v>
      </c>
      <c r="B53" s="8" t="s">
        <v>72</v>
      </c>
      <c r="C53" s="8" t="s">
        <v>73</v>
      </c>
      <c r="D53" s="8" t="s">
        <v>102</v>
      </c>
      <c r="E53" s="9" t="s">
        <v>103</v>
      </c>
      <c r="F53" s="19">
        <v>2024</v>
      </c>
      <c r="G53" s="16" t="s">
        <v>94</v>
      </c>
      <c r="H53" s="99"/>
      <c r="I53" s="94">
        <v>3.5</v>
      </c>
      <c r="J53" s="10">
        <f>F53*$I53</f>
        <v>7084</v>
      </c>
      <c r="K53" s="2"/>
      <c r="L53" s="19">
        <v>3474</v>
      </c>
      <c r="M53" s="10">
        <f>L53*$I53</f>
        <v>12159</v>
      </c>
      <c r="N53" s="2"/>
      <c r="O53" s="19">
        <f>F53-L53</f>
        <v>-1450</v>
      </c>
      <c r="P53" s="58">
        <f>(F53-L53)/L53</f>
        <v>-0.41738629821531376</v>
      </c>
      <c r="R53" s="61"/>
      <c r="S53" s="2"/>
      <c r="T53" s="19">
        <v>2024</v>
      </c>
      <c r="U53" s="10">
        <f>T53*$I53</f>
        <v>7084</v>
      </c>
      <c r="X53" s="19">
        <v>4</v>
      </c>
      <c r="Y53" s="10">
        <f t="shared" si="6"/>
        <v>0</v>
      </c>
      <c r="AA53" s="19"/>
      <c r="AB53" s="10">
        <f t="shared" si="7"/>
        <v>0</v>
      </c>
    </row>
    <row r="54" spans="1:28" ht="30" x14ac:dyDescent="0.25">
      <c r="A54" s="7" t="s">
        <v>7</v>
      </c>
      <c r="B54" s="8" t="s">
        <v>72</v>
      </c>
      <c r="C54" s="8" t="s">
        <v>73</v>
      </c>
      <c r="D54" s="8" t="s">
        <v>104</v>
      </c>
      <c r="E54" s="9" t="s">
        <v>105</v>
      </c>
      <c r="F54" s="64">
        <v>10</v>
      </c>
      <c r="G54" s="16" t="s">
        <v>17</v>
      </c>
      <c r="H54" s="99"/>
      <c r="I54" s="94">
        <v>100</v>
      </c>
      <c r="J54" s="10">
        <f>F54*$I54</f>
        <v>1000</v>
      </c>
      <c r="K54" s="2"/>
      <c r="L54" s="19">
        <v>0</v>
      </c>
      <c r="M54" s="10">
        <f>L54*$I54</f>
        <v>0</v>
      </c>
      <c r="N54" s="2"/>
      <c r="O54" s="19">
        <f>F54-L54</f>
        <v>10</v>
      </c>
      <c r="P54" s="58"/>
      <c r="R54" s="63" t="s">
        <v>173</v>
      </c>
      <c r="S54" s="2"/>
      <c r="T54" s="64"/>
      <c r="U54" s="10">
        <f>T54*$I54</f>
        <v>0</v>
      </c>
      <c r="X54" s="64">
        <v>200</v>
      </c>
      <c r="Y54" s="10">
        <f t="shared" si="6"/>
        <v>0</v>
      </c>
      <c r="AA54" s="64"/>
      <c r="AB54" s="10">
        <f t="shared" si="7"/>
        <v>0</v>
      </c>
    </row>
    <row r="55" spans="1:28" ht="45" x14ac:dyDescent="0.25">
      <c r="A55" s="7" t="s">
        <v>7</v>
      </c>
      <c r="B55" s="8" t="s">
        <v>72</v>
      </c>
      <c r="C55" s="8" t="s">
        <v>73</v>
      </c>
      <c r="D55" s="8" t="s">
        <v>106</v>
      </c>
      <c r="E55" s="9" t="s">
        <v>107</v>
      </c>
      <c r="F55" s="64">
        <v>15</v>
      </c>
      <c r="G55" s="16" t="s">
        <v>94</v>
      </c>
      <c r="H55" s="99"/>
      <c r="I55" s="94">
        <v>21</v>
      </c>
      <c r="J55" s="10">
        <f>F55*$I55</f>
        <v>315</v>
      </c>
      <c r="K55" s="2"/>
      <c r="L55" s="19">
        <v>0</v>
      </c>
      <c r="M55" s="10">
        <f>L55*$I55</f>
        <v>0</v>
      </c>
      <c r="N55" s="2"/>
      <c r="O55" s="19">
        <f>F55-L55</f>
        <v>15</v>
      </c>
      <c r="P55" s="58"/>
      <c r="R55" s="65">
        <f>-(J54+J55+J56)</f>
        <v>-3165</v>
      </c>
      <c r="S55" s="2"/>
      <c r="T55" s="64"/>
      <c r="U55" s="10">
        <f>T55*$I55</f>
        <v>0</v>
      </c>
      <c r="X55" s="64">
        <v>40</v>
      </c>
      <c r="Y55" s="10">
        <f t="shared" si="6"/>
        <v>0</v>
      </c>
      <c r="AA55" s="64"/>
      <c r="AB55" s="10">
        <f t="shared" si="7"/>
        <v>0</v>
      </c>
    </row>
    <row r="56" spans="1:28" ht="30" x14ac:dyDescent="0.25">
      <c r="A56" s="7" t="s">
        <v>7</v>
      </c>
      <c r="B56" s="8" t="s">
        <v>72</v>
      </c>
      <c r="C56" s="8" t="s">
        <v>73</v>
      </c>
      <c r="D56" s="8" t="s">
        <v>108</v>
      </c>
      <c r="E56" s="9" t="s">
        <v>109</v>
      </c>
      <c r="F56" s="64">
        <v>10</v>
      </c>
      <c r="G56" s="16" t="s">
        <v>76</v>
      </c>
      <c r="H56" s="99"/>
      <c r="I56" s="94">
        <v>185</v>
      </c>
      <c r="J56" s="10">
        <f>F56*$I56</f>
        <v>1850</v>
      </c>
      <c r="K56" s="2"/>
      <c r="L56" s="19">
        <v>0</v>
      </c>
      <c r="M56" s="10">
        <f>L56*$I56</f>
        <v>0</v>
      </c>
      <c r="N56" s="2"/>
      <c r="O56" s="19">
        <f>F56-L56</f>
        <v>10</v>
      </c>
      <c r="P56" s="58"/>
      <c r="R56" s="61"/>
      <c r="S56" s="2"/>
      <c r="T56" s="64"/>
      <c r="U56" s="10">
        <f>T56*$I56</f>
        <v>0</v>
      </c>
      <c r="X56" s="64">
        <v>300</v>
      </c>
      <c r="Y56" s="10">
        <f t="shared" si="6"/>
        <v>0</v>
      </c>
      <c r="AA56" s="64"/>
      <c r="AB56" s="10">
        <f t="shared" si="7"/>
        <v>0</v>
      </c>
    </row>
    <row r="57" spans="1:28" ht="30" x14ac:dyDescent="0.25">
      <c r="A57" s="7" t="s">
        <v>7</v>
      </c>
      <c r="B57" s="8" t="s">
        <v>72</v>
      </c>
      <c r="C57" s="8" t="s">
        <v>73</v>
      </c>
      <c r="D57" s="8" t="s">
        <v>110</v>
      </c>
      <c r="E57" s="9" t="s">
        <v>111</v>
      </c>
      <c r="F57" s="19">
        <v>11037</v>
      </c>
      <c r="G57" s="16" t="s">
        <v>94</v>
      </c>
      <c r="H57" s="99"/>
      <c r="I57" s="94">
        <v>2</v>
      </c>
      <c r="J57" s="10">
        <f>F57*$I57</f>
        <v>22074</v>
      </c>
      <c r="K57" s="2"/>
      <c r="L57" s="19">
        <v>11174</v>
      </c>
      <c r="M57" s="10">
        <f>L57*$I57</f>
        <v>22348</v>
      </c>
      <c r="N57" s="2"/>
      <c r="O57" s="19">
        <f>F57-L57</f>
        <v>-137</v>
      </c>
      <c r="P57" s="58">
        <f>(F57-L57)/L57</f>
        <v>-1.2260604975836763E-2</v>
      </c>
      <c r="R57" s="61"/>
      <c r="S57" s="2"/>
      <c r="T57" s="19">
        <v>11037</v>
      </c>
      <c r="U57" s="10">
        <f>T57*$I57</f>
        <v>22074</v>
      </c>
      <c r="X57" s="19">
        <v>1.5</v>
      </c>
      <c r="Y57" s="10">
        <f t="shared" si="6"/>
        <v>0</v>
      </c>
      <c r="AA57" s="19"/>
      <c r="AB57" s="10">
        <f t="shared" si="7"/>
        <v>0</v>
      </c>
    </row>
    <row r="58" spans="1:28" ht="45" x14ac:dyDescent="0.25">
      <c r="A58" s="7" t="s">
        <v>7</v>
      </c>
      <c r="B58" s="8" t="s">
        <v>72</v>
      </c>
      <c r="C58" s="8" t="s">
        <v>73</v>
      </c>
      <c r="D58" s="8" t="s">
        <v>112</v>
      </c>
      <c r="E58" s="9" t="s">
        <v>113</v>
      </c>
      <c r="F58" s="19">
        <v>876</v>
      </c>
      <c r="G58" s="16" t="s">
        <v>76</v>
      </c>
      <c r="H58" s="99"/>
      <c r="I58" s="94">
        <v>18</v>
      </c>
      <c r="J58" s="10">
        <f>F58*$I58</f>
        <v>15768</v>
      </c>
      <c r="K58" s="2"/>
      <c r="L58" s="19">
        <v>0</v>
      </c>
      <c r="M58" s="10">
        <f>L58*$I58</f>
        <v>0</v>
      </c>
      <c r="N58" s="2"/>
      <c r="O58" s="19">
        <f>F58-L58</f>
        <v>876</v>
      </c>
      <c r="P58" s="58"/>
      <c r="R58" s="61"/>
      <c r="S58" s="2"/>
      <c r="T58" s="19">
        <v>876</v>
      </c>
      <c r="U58" s="10">
        <f>T58*$I58</f>
        <v>15768</v>
      </c>
      <c r="X58" s="19">
        <v>22</v>
      </c>
      <c r="Y58" s="10">
        <f t="shared" si="6"/>
        <v>0</v>
      </c>
      <c r="AA58" s="19"/>
      <c r="AB58" s="10">
        <f t="shared" si="7"/>
        <v>0</v>
      </c>
    </row>
    <row r="59" spans="1:28" ht="45" x14ac:dyDescent="0.25">
      <c r="A59" s="7" t="s">
        <v>7</v>
      </c>
      <c r="B59" s="8" t="s">
        <v>72</v>
      </c>
      <c r="C59" s="8" t="s">
        <v>73</v>
      </c>
      <c r="D59" s="8" t="s">
        <v>114</v>
      </c>
      <c r="E59" s="9" t="s">
        <v>115</v>
      </c>
      <c r="F59" s="19">
        <v>1662</v>
      </c>
      <c r="G59" s="16" t="s">
        <v>76</v>
      </c>
      <c r="H59" s="99"/>
      <c r="I59" s="94">
        <v>23</v>
      </c>
      <c r="J59" s="10">
        <f>F59*$I59</f>
        <v>38226</v>
      </c>
      <c r="K59" s="2"/>
      <c r="L59" s="19">
        <v>3395</v>
      </c>
      <c r="M59" s="10">
        <f>L59*$I59</f>
        <v>78085</v>
      </c>
      <c r="N59" s="2"/>
      <c r="O59" s="19">
        <f>F59-L59</f>
        <v>-1733</v>
      </c>
      <c r="P59" s="58">
        <f>(F59-L59)/L59</f>
        <v>-0.51045655375552279</v>
      </c>
      <c r="R59" s="61"/>
      <c r="S59" s="2"/>
      <c r="T59" s="19">
        <v>1662</v>
      </c>
      <c r="U59" s="10">
        <f>T59*$I59</f>
        <v>38226</v>
      </c>
      <c r="X59" s="19">
        <v>22</v>
      </c>
      <c r="Y59" s="10">
        <f t="shared" si="6"/>
        <v>0</v>
      </c>
      <c r="AA59" s="19"/>
      <c r="AB59" s="10">
        <f t="shared" si="7"/>
        <v>0</v>
      </c>
    </row>
    <row r="60" spans="1:28" ht="30" x14ac:dyDescent="0.25">
      <c r="A60" s="7" t="s">
        <v>7</v>
      </c>
      <c r="B60" s="8" t="s">
        <v>72</v>
      </c>
      <c r="C60" s="8" t="s">
        <v>73</v>
      </c>
      <c r="D60" s="8" t="s">
        <v>116</v>
      </c>
      <c r="E60" s="9" t="s">
        <v>117</v>
      </c>
      <c r="F60" s="19">
        <v>876</v>
      </c>
      <c r="G60" s="16" t="s">
        <v>76</v>
      </c>
      <c r="H60" s="99"/>
      <c r="I60" s="94">
        <v>5</v>
      </c>
      <c r="J60" s="10">
        <f>F60*$I60</f>
        <v>4380</v>
      </c>
      <c r="K60" s="2"/>
      <c r="L60" s="19">
        <v>0</v>
      </c>
      <c r="M60" s="10">
        <f>L60*$I60</f>
        <v>0</v>
      </c>
      <c r="N60" s="2"/>
      <c r="O60" s="19">
        <f>F60-L60</f>
        <v>876</v>
      </c>
      <c r="P60" s="58"/>
      <c r="R60" s="61"/>
      <c r="S60" s="2"/>
      <c r="T60" s="19">
        <v>876</v>
      </c>
      <c r="U60" s="10">
        <f>T60*$I60</f>
        <v>4380</v>
      </c>
      <c r="X60" s="19">
        <v>0</v>
      </c>
      <c r="Y60" s="10">
        <f t="shared" si="6"/>
        <v>0</v>
      </c>
      <c r="AA60" s="19"/>
      <c r="AB60" s="10">
        <f t="shared" si="7"/>
        <v>0</v>
      </c>
    </row>
    <row r="61" spans="1:28" ht="30" x14ac:dyDescent="0.25">
      <c r="A61" s="7" t="s">
        <v>7</v>
      </c>
      <c r="B61" s="8" t="s">
        <v>72</v>
      </c>
      <c r="C61" s="8" t="s">
        <v>73</v>
      </c>
      <c r="D61" s="8" t="s">
        <v>118</v>
      </c>
      <c r="E61" s="9" t="s">
        <v>119</v>
      </c>
      <c r="F61" s="19">
        <v>1662</v>
      </c>
      <c r="G61" s="16" t="s">
        <v>76</v>
      </c>
      <c r="H61" s="99"/>
      <c r="I61" s="94">
        <v>5</v>
      </c>
      <c r="J61" s="10">
        <f>F61*$I61</f>
        <v>8310</v>
      </c>
      <c r="K61" s="2"/>
      <c r="L61" s="19">
        <v>3395</v>
      </c>
      <c r="M61" s="10">
        <f>L61*$I61</f>
        <v>16975</v>
      </c>
      <c r="N61" s="2"/>
      <c r="O61" s="19">
        <f>F61-L61</f>
        <v>-1733</v>
      </c>
      <c r="P61" s="58">
        <f>(F61-L61)/L61</f>
        <v>-0.51045655375552279</v>
      </c>
      <c r="R61" s="61"/>
      <c r="S61" s="2"/>
      <c r="T61" s="19">
        <v>1662</v>
      </c>
      <c r="U61" s="10">
        <f>T61*$I61</f>
        <v>8310</v>
      </c>
      <c r="X61" s="19">
        <v>0</v>
      </c>
      <c r="Y61" s="10">
        <f t="shared" si="6"/>
        <v>0</v>
      </c>
      <c r="AA61" s="19"/>
      <c r="AB61" s="10">
        <f t="shared" si="7"/>
        <v>0</v>
      </c>
    </row>
    <row r="62" spans="1:28" x14ac:dyDescent="0.25">
      <c r="A62" s="7" t="s">
        <v>7</v>
      </c>
      <c r="B62" s="8" t="s">
        <v>72</v>
      </c>
      <c r="C62" s="8" t="s">
        <v>73</v>
      </c>
      <c r="D62" s="8" t="s">
        <v>120</v>
      </c>
      <c r="E62" s="9" t="s">
        <v>121</v>
      </c>
      <c r="F62" s="19">
        <v>2543</v>
      </c>
      <c r="G62" s="16" t="s">
        <v>76</v>
      </c>
      <c r="H62" s="99"/>
      <c r="I62" s="94">
        <v>15</v>
      </c>
      <c r="J62" s="10">
        <f>F62*$I62</f>
        <v>38145</v>
      </c>
      <c r="K62" s="2"/>
      <c r="L62" s="19">
        <v>1300</v>
      </c>
      <c r="M62" s="10">
        <f>L62*$I62</f>
        <v>19500</v>
      </c>
      <c r="N62" s="2"/>
      <c r="O62" s="19">
        <f>F62-L62</f>
        <v>1243</v>
      </c>
      <c r="P62" s="58">
        <f>(F62-L62)/L62</f>
        <v>0.95615384615384613</v>
      </c>
      <c r="R62" s="61"/>
      <c r="S62" s="2"/>
      <c r="T62" s="19">
        <v>2543</v>
      </c>
      <c r="U62" s="10">
        <f>T62*$I62</f>
        <v>38145</v>
      </c>
      <c r="X62" s="19">
        <v>9</v>
      </c>
      <c r="Y62" s="10">
        <f t="shared" si="6"/>
        <v>0</v>
      </c>
      <c r="AA62" s="19"/>
      <c r="AB62" s="10">
        <f t="shared" si="7"/>
        <v>0</v>
      </c>
    </row>
    <row r="63" spans="1:28" x14ac:dyDescent="0.25">
      <c r="A63" s="7" t="s">
        <v>7</v>
      </c>
      <c r="B63" s="8" t="s">
        <v>72</v>
      </c>
      <c r="C63" s="8" t="s">
        <v>73</v>
      </c>
      <c r="D63" s="8" t="s">
        <v>122</v>
      </c>
      <c r="E63" s="9" t="s">
        <v>123</v>
      </c>
      <c r="F63" s="19">
        <v>1860</v>
      </c>
      <c r="G63" s="16" t="s">
        <v>76</v>
      </c>
      <c r="H63" s="99"/>
      <c r="I63" s="94">
        <v>15</v>
      </c>
      <c r="J63" s="10">
        <f>F63*$I63</f>
        <v>27900</v>
      </c>
      <c r="K63" s="2"/>
      <c r="L63" s="19"/>
      <c r="M63" s="10">
        <f>L63*$I63</f>
        <v>0</v>
      </c>
      <c r="N63" s="2"/>
      <c r="O63" s="19">
        <f>F63-L63</f>
        <v>1860</v>
      </c>
      <c r="P63" s="58"/>
      <c r="R63" s="61"/>
      <c r="S63" s="2"/>
      <c r="T63" s="19">
        <v>1860</v>
      </c>
      <c r="U63" s="10">
        <f>T63*$I63</f>
        <v>27900</v>
      </c>
      <c r="X63" s="19">
        <v>12</v>
      </c>
      <c r="Y63" s="10">
        <f t="shared" si="6"/>
        <v>0</v>
      </c>
      <c r="AA63" s="19"/>
      <c r="AB63" s="10">
        <f t="shared" si="7"/>
        <v>0</v>
      </c>
    </row>
    <row r="64" spans="1:28" ht="30" x14ac:dyDescent="0.25">
      <c r="A64" s="7" t="s">
        <v>7</v>
      </c>
      <c r="B64" s="8" t="s">
        <v>72</v>
      </c>
      <c r="C64" s="8" t="s">
        <v>73</v>
      </c>
      <c r="D64" s="8" t="s">
        <v>124</v>
      </c>
      <c r="E64" s="9" t="s">
        <v>125</v>
      </c>
      <c r="F64" s="19">
        <v>4081</v>
      </c>
      <c r="G64" s="16" t="s">
        <v>76</v>
      </c>
      <c r="H64" s="99"/>
      <c r="I64" s="94">
        <v>25</v>
      </c>
      <c r="J64" s="10">
        <f>F64*$I64</f>
        <v>102025</v>
      </c>
      <c r="K64" s="2"/>
      <c r="L64" s="19">
        <v>10130</v>
      </c>
      <c r="M64" s="10">
        <f>L64*$I64</f>
        <v>253250</v>
      </c>
      <c r="N64" s="2"/>
      <c r="O64" s="19">
        <f>F64-L64</f>
        <v>-6049</v>
      </c>
      <c r="P64" s="58">
        <f>(F64-L64)/L64</f>
        <v>-0.59713721618953608</v>
      </c>
      <c r="R64" s="61"/>
      <c r="S64" s="2"/>
      <c r="T64" s="19">
        <v>4081</v>
      </c>
      <c r="U64" s="10">
        <f>T64*$I64</f>
        <v>102025</v>
      </c>
      <c r="X64" s="19">
        <v>45</v>
      </c>
      <c r="Y64" s="10">
        <f t="shared" si="6"/>
        <v>0</v>
      </c>
      <c r="AA64" s="19"/>
      <c r="AB64" s="10">
        <f t="shared" si="7"/>
        <v>0</v>
      </c>
    </row>
    <row r="65" spans="1:28" ht="30" x14ac:dyDescent="0.25">
      <c r="A65" s="7" t="s">
        <v>7</v>
      </c>
      <c r="B65" s="8" t="s">
        <v>72</v>
      </c>
      <c r="C65" s="8" t="s">
        <v>73</v>
      </c>
      <c r="D65" s="8" t="s">
        <v>126</v>
      </c>
      <c r="E65" s="9" t="s">
        <v>127</v>
      </c>
      <c r="F65" s="19">
        <v>165</v>
      </c>
      <c r="G65" s="16" t="s">
        <v>76</v>
      </c>
      <c r="H65" s="99"/>
      <c r="I65" s="94">
        <v>30</v>
      </c>
      <c r="J65" s="10">
        <f>F65*$I65</f>
        <v>4950</v>
      </c>
      <c r="K65" s="2"/>
      <c r="L65" s="19"/>
      <c r="M65" s="10">
        <f>L65*$I65</f>
        <v>0</v>
      </c>
      <c r="N65" s="2"/>
      <c r="O65" s="19">
        <f>F65-L65</f>
        <v>165</v>
      </c>
      <c r="P65" s="58"/>
      <c r="R65" s="61"/>
      <c r="S65" s="2"/>
      <c r="T65" s="19">
        <v>165</v>
      </c>
      <c r="U65" s="10">
        <f>T65*$I65</f>
        <v>4950</v>
      </c>
      <c r="X65" s="19">
        <v>160</v>
      </c>
      <c r="Y65" s="10">
        <f t="shared" si="6"/>
        <v>0</v>
      </c>
      <c r="AA65" s="19"/>
      <c r="AB65" s="10">
        <f t="shared" si="7"/>
        <v>0</v>
      </c>
    </row>
    <row r="66" spans="1:28" ht="45" x14ac:dyDescent="0.25">
      <c r="A66" s="7" t="s">
        <v>7</v>
      </c>
      <c r="B66" s="8" t="s">
        <v>72</v>
      </c>
      <c r="C66" s="8" t="s">
        <v>73</v>
      </c>
      <c r="D66" s="8" t="s">
        <v>128</v>
      </c>
      <c r="E66" s="9" t="s">
        <v>129</v>
      </c>
      <c r="F66" s="19">
        <v>801</v>
      </c>
      <c r="G66" s="16" t="s">
        <v>130</v>
      </c>
      <c r="H66" s="99"/>
      <c r="I66" s="94">
        <v>13</v>
      </c>
      <c r="J66" s="10">
        <f>F66*$I66</f>
        <v>10413</v>
      </c>
      <c r="K66" s="2"/>
      <c r="L66" s="19">
        <v>0</v>
      </c>
      <c r="M66" s="10">
        <f>L66*$I66</f>
        <v>0</v>
      </c>
      <c r="N66" s="2"/>
      <c r="O66" s="19">
        <f>F66-L66</f>
        <v>801</v>
      </c>
      <c r="P66" s="58"/>
      <c r="R66" s="66"/>
      <c r="S66" s="2"/>
      <c r="T66" s="71">
        <v>801</v>
      </c>
      <c r="U66" s="70">
        <f>T66*$I66</f>
        <v>10413</v>
      </c>
      <c r="X66" s="71">
        <v>45</v>
      </c>
      <c r="Y66" s="10">
        <f t="shared" si="6"/>
        <v>0</v>
      </c>
      <c r="AA66" s="71"/>
      <c r="AB66" s="10">
        <f t="shared" si="7"/>
        <v>0</v>
      </c>
    </row>
    <row r="67" spans="1:28" ht="45" x14ac:dyDescent="0.25">
      <c r="A67" s="7" t="s">
        <v>7</v>
      </c>
      <c r="B67" s="8" t="s">
        <v>72</v>
      </c>
      <c r="C67" s="8" t="s">
        <v>73</v>
      </c>
      <c r="D67" s="8" t="s">
        <v>131</v>
      </c>
      <c r="E67" s="9" t="s">
        <v>132</v>
      </c>
      <c r="F67" s="19">
        <v>4081</v>
      </c>
      <c r="G67" s="16" t="s">
        <v>76</v>
      </c>
      <c r="H67" s="99"/>
      <c r="I67" s="94">
        <v>26</v>
      </c>
      <c r="J67" s="10">
        <f>F67*$I67</f>
        <v>106106</v>
      </c>
      <c r="K67" s="2"/>
      <c r="L67" s="19">
        <v>10130</v>
      </c>
      <c r="M67" s="10">
        <f>L67*$I67</f>
        <v>263380</v>
      </c>
      <c r="N67" s="2"/>
      <c r="O67" s="19">
        <f>F67-L67</f>
        <v>-6049</v>
      </c>
      <c r="P67" s="58">
        <f>(F67-L67)/L67</f>
        <v>-0.59713721618953608</v>
      </c>
      <c r="R67" s="61" t="s">
        <v>184</v>
      </c>
      <c r="S67" s="2"/>
      <c r="T67" s="19">
        <v>4081</v>
      </c>
      <c r="U67" s="10">
        <f>T67*$I67</f>
        <v>106106</v>
      </c>
      <c r="X67" s="19">
        <v>0.1</v>
      </c>
      <c r="Y67" s="10">
        <f t="shared" si="6"/>
        <v>0</v>
      </c>
      <c r="AA67" s="19"/>
      <c r="AB67" s="10">
        <f t="shared" si="7"/>
        <v>0</v>
      </c>
    </row>
    <row r="68" spans="1:28" x14ac:dyDescent="0.25">
      <c r="A68" s="7" t="s">
        <v>7</v>
      </c>
      <c r="B68" s="8" t="s">
        <v>72</v>
      </c>
      <c r="C68" s="8" t="s">
        <v>73</v>
      </c>
      <c r="D68" s="8" t="s">
        <v>133</v>
      </c>
      <c r="E68" s="9" t="s">
        <v>134</v>
      </c>
      <c r="F68" s="19">
        <v>165</v>
      </c>
      <c r="G68" s="16" t="s">
        <v>76</v>
      </c>
      <c r="H68" s="99"/>
      <c r="I68" s="94">
        <v>81</v>
      </c>
      <c r="J68" s="10">
        <f>F68*$I68</f>
        <v>13365</v>
      </c>
      <c r="K68" s="2"/>
      <c r="L68" s="19">
        <v>0</v>
      </c>
      <c r="M68" s="10">
        <f>L68*$I68</f>
        <v>0</v>
      </c>
      <c r="N68" s="2"/>
      <c r="O68" s="19">
        <f>F68-L68</f>
        <v>165</v>
      </c>
      <c r="P68" s="58"/>
      <c r="R68" s="61">
        <f>O67*80</f>
        <v>-483920</v>
      </c>
      <c r="S68" s="2"/>
      <c r="T68" s="19">
        <v>165</v>
      </c>
      <c r="U68" s="10">
        <f>T68*$I68</f>
        <v>13365</v>
      </c>
      <c r="X68" s="19">
        <v>0.1</v>
      </c>
      <c r="Y68" s="10">
        <f t="shared" si="6"/>
        <v>0</v>
      </c>
      <c r="AA68" s="19"/>
      <c r="AB68" s="10">
        <f t="shared" si="7"/>
        <v>0</v>
      </c>
    </row>
    <row r="69" spans="1:28" ht="45" x14ac:dyDescent="0.25">
      <c r="A69" s="7" t="s">
        <v>7</v>
      </c>
      <c r="B69" s="8" t="s">
        <v>72</v>
      </c>
      <c r="C69" s="8" t="s">
        <v>73</v>
      </c>
      <c r="D69" s="8" t="s">
        <v>135</v>
      </c>
      <c r="E69" s="9" t="s">
        <v>136</v>
      </c>
      <c r="F69" s="69">
        <v>801</v>
      </c>
      <c r="G69" s="16" t="s">
        <v>130</v>
      </c>
      <c r="H69" s="99"/>
      <c r="I69" s="94">
        <v>34.5</v>
      </c>
      <c r="J69" s="70">
        <f>F69*$I69</f>
        <v>27634.5</v>
      </c>
      <c r="K69" s="2"/>
      <c r="L69" s="19">
        <v>0</v>
      </c>
      <c r="M69" s="10">
        <f>L69*$I69</f>
        <v>0</v>
      </c>
      <c r="N69" s="2"/>
      <c r="O69" s="19">
        <f>F69-L69</f>
        <v>801</v>
      </c>
      <c r="P69" s="58"/>
      <c r="R69" s="68" t="s">
        <v>174</v>
      </c>
      <c r="S69" s="2"/>
      <c r="T69" s="67"/>
      <c r="U69" s="72">
        <f>T69*$I69</f>
        <v>0</v>
      </c>
      <c r="X69" s="67">
        <v>0.1</v>
      </c>
      <c r="Y69" s="10">
        <f t="shared" si="6"/>
        <v>0</v>
      </c>
      <c r="AA69" s="67"/>
      <c r="AB69" s="10">
        <f t="shared" si="7"/>
        <v>0</v>
      </c>
    </row>
    <row r="70" spans="1:28" ht="60" x14ac:dyDescent="0.25">
      <c r="A70" s="7" t="s">
        <v>7</v>
      </c>
      <c r="B70" s="8" t="s">
        <v>72</v>
      </c>
      <c r="C70" s="8" t="s">
        <v>73</v>
      </c>
      <c r="D70" s="8" t="s">
        <v>137</v>
      </c>
      <c r="E70" s="9" t="s">
        <v>138</v>
      </c>
      <c r="F70" s="19">
        <v>876</v>
      </c>
      <c r="G70" s="16" t="s">
        <v>76</v>
      </c>
      <c r="H70" s="99"/>
      <c r="I70" s="94">
        <v>10</v>
      </c>
      <c r="J70" s="10">
        <f>F70*$I70</f>
        <v>8760</v>
      </c>
      <c r="K70" s="2"/>
      <c r="L70" s="19">
        <v>0</v>
      </c>
      <c r="M70" s="10">
        <f>-23200-6720</f>
        <v>-29920</v>
      </c>
      <c r="N70" s="2"/>
      <c r="O70" s="19">
        <f>F70-L70</f>
        <v>876</v>
      </c>
      <c r="P70" s="58"/>
      <c r="R70" s="61" t="s">
        <v>177</v>
      </c>
      <c r="S70" s="2"/>
      <c r="T70" s="19">
        <v>876</v>
      </c>
      <c r="U70" s="10">
        <f>T70*$I70</f>
        <v>8760</v>
      </c>
      <c r="X70" s="19">
        <v>7</v>
      </c>
      <c r="Y70" s="10">
        <f t="shared" si="6"/>
        <v>0</v>
      </c>
      <c r="AA70" s="19"/>
      <c r="AB70" s="10">
        <f t="shared" si="7"/>
        <v>0</v>
      </c>
    </row>
    <row r="71" spans="1:28" ht="75" x14ac:dyDescent="0.25">
      <c r="A71" s="7" t="s">
        <v>7</v>
      </c>
      <c r="B71" s="8" t="s">
        <v>72</v>
      </c>
      <c r="C71" s="8" t="s">
        <v>73</v>
      </c>
      <c r="D71" s="8" t="s">
        <v>139</v>
      </c>
      <c r="E71" s="9" t="s">
        <v>140</v>
      </c>
      <c r="F71" s="19">
        <v>1662</v>
      </c>
      <c r="G71" s="16" t="s">
        <v>76</v>
      </c>
      <c r="H71" s="99"/>
      <c r="I71" s="94">
        <v>10</v>
      </c>
      <c r="J71" s="10">
        <f>F71*$I71</f>
        <v>16620</v>
      </c>
      <c r="K71" s="2"/>
      <c r="L71" s="19">
        <v>2895</v>
      </c>
      <c r="M71" s="10">
        <f>L71*$I71</f>
        <v>28950</v>
      </c>
      <c r="N71" s="2"/>
      <c r="O71" s="19">
        <f>F71-L71</f>
        <v>-1233</v>
      </c>
      <c r="P71" s="58">
        <f>(F71-L71)/L71</f>
        <v>-0.42590673575129534</v>
      </c>
      <c r="R71" s="61"/>
      <c r="S71" s="2"/>
      <c r="T71" s="19">
        <v>1662</v>
      </c>
      <c r="U71" s="10">
        <f>T71*$I71</f>
        <v>16620</v>
      </c>
      <c r="X71" s="19">
        <v>7</v>
      </c>
      <c r="Y71" s="10">
        <f t="shared" si="6"/>
        <v>0</v>
      </c>
      <c r="AA71" s="19"/>
      <c r="AB71" s="10">
        <f t="shared" si="7"/>
        <v>0</v>
      </c>
    </row>
    <row r="72" spans="1:28" x14ac:dyDescent="0.25">
      <c r="A72" s="7" t="s">
        <v>7</v>
      </c>
      <c r="B72" s="8" t="s">
        <v>72</v>
      </c>
      <c r="C72" s="8" t="s">
        <v>73</v>
      </c>
      <c r="D72" s="8" t="s">
        <v>141</v>
      </c>
      <c r="E72" s="9" t="s">
        <v>142</v>
      </c>
      <c r="F72" s="19">
        <v>559</v>
      </c>
      <c r="G72" s="16" t="s">
        <v>130</v>
      </c>
      <c r="H72" s="99"/>
      <c r="I72" s="94">
        <v>300</v>
      </c>
      <c r="J72" s="10">
        <f>F72*$I72</f>
        <v>167700</v>
      </c>
      <c r="K72" s="2"/>
      <c r="L72" s="19">
        <f>(2950*0.4)*50*0.001+L71*50*0.001</f>
        <v>203.75</v>
      </c>
      <c r="M72" s="10">
        <f>L72*$I72</f>
        <v>61125</v>
      </c>
      <c r="N72" s="2"/>
      <c r="O72" s="19">
        <f>F72-L72</f>
        <v>355.25</v>
      </c>
      <c r="P72" s="58">
        <f>(F72-L72)/L72</f>
        <v>1.7435582822085889</v>
      </c>
      <c r="R72" s="61"/>
      <c r="S72" s="2"/>
      <c r="T72" s="19">
        <v>559</v>
      </c>
      <c r="U72" s="10">
        <f>T72*$I72</f>
        <v>167700</v>
      </c>
      <c r="X72" s="19">
        <v>210</v>
      </c>
      <c r="Y72" s="10">
        <f t="shared" si="6"/>
        <v>0</v>
      </c>
      <c r="AA72" s="19"/>
      <c r="AB72" s="10">
        <f t="shared" si="7"/>
        <v>0</v>
      </c>
    </row>
    <row r="73" spans="1:28" ht="60" x14ac:dyDescent="0.25">
      <c r="A73" s="7" t="s">
        <v>7</v>
      </c>
      <c r="B73" s="8" t="s">
        <v>72</v>
      </c>
      <c r="C73" s="8" t="s">
        <v>73</v>
      </c>
      <c r="D73" s="8" t="s">
        <v>143</v>
      </c>
      <c r="E73" s="9" t="s">
        <v>144</v>
      </c>
      <c r="F73" s="19">
        <v>4754</v>
      </c>
      <c r="G73" s="16" t="s">
        <v>76</v>
      </c>
      <c r="H73" s="99"/>
      <c r="I73" s="94">
        <v>10</v>
      </c>
      <c r="J73" s="10">
        <f>F73*$I73</f>
        <v>47540</v>
      </c>
      <c r="K73" s="2"/>
      <c r="L73" s="19">
        <v>2950</v>
      </c>
      <c r="M73" s="10">
        <f>L73*$I73</f>
        <v>29500</v>
      </c>
      <c r="N73" s="2"/>
      <c r="O73" s="19">
        <f>F73-L73</f>
        <v>1804</v>
      </c>
      <c r="P73" s="58">
        <f>(F73-L73)/L73</f>
        <v>0.61152542372881358</v>
      </c>
      <c r="R73" s="61"/>
      <c r="S73" s="2"/>
      <c r="T73" s="19">
        <v>4754</v>
      </c>
      <c r="U73" s="10">
        <f>T73*$I73</f>
        <v>47540</v>
      </c>
      <c r="X73" s="19">
        <v>10</v>
      </c>
      <c r="Y73" s="10">
        <f t="shared" si="6"/>
        <v>0</v>
      </c>
      <c r="AA73" s="19"/>
      <c r="AB73" s="10">
        <f t="shared" si="7"/>
        <v>0</v>
      </c>
    </row>
    <row r="74" spans="1:28" ht="75" x14ac:dyDescent="0.25">
      <c r="A74" s="7" t="s">
        <v>7</v>
      </c>
      <c r="B74" s="8" t="s">
        <v>72</v>
      </c>
      <c r="C74" s="8" t="s">
        <v>73</v>
      </c>
      <c r="D74" s="8" t="s">
        <v>145</v>
      </c>
      <c r="E74" s="9" t="s">
        <v>146</v>
      </c>
      <c r="F74" s="19">
        <v>4754</v>
      </c>
      <c r="G74" s="16" t="s">
        <v>76</v>
      </c>
      <c r="H74" s="99"/>
      <c r="I74" s="94">
        <v>15</v>
      </c>
      <c r="J74" s="10">
        <f>F74*$I74</f>
        <v>71310</v>
      </c>
      <c r="K74" s="2"/>
      <c r="L74" s="19"/>
      <c r="M74" s="10">
        <f>L74*$I74</f>
        <v>0</v>
      </c>
      <c r="N74" s="2"/>
      <c r="O74" s="19">
        <f>F74-L74</f>
        <v>4754</v>
      </c>
      <c r="P74" s="58"/>
      <c r="R74" s="61"/>
      <c r="S74" s="2"/>
      <c r="T74" s="19">
        <v>4754</v>
      </c>
      <c r="U74" s="10">
        <f>T74*$I74</f>
        <v>71310</v>
      </c>
      <c r="X74" s="19">
        <v>15</v>
      </c>
      <c r="Y74" s="10">
        <f t="shared" si="6"/>
        <v>0</v>
      </c>
      <c r="AA74" s="19"/>
      <c r="AB74" s="10">
        <f t="shared" si="7"/>
        <v>0</v>
      </c>
    </row>
    <row r="75" spans="1:28" ht="90" x14ac:dyDescent="0.25">
      <c r="A75" s="7" t="s">
        <v>7</v>
      </c>
      <c r="B75" s="8" t="s">
        <v>72</v>
      </c>
      <c r="C75" s="8" t="s">
        <v>73</v>
      </c>
      <c r="D75" s="8" t="s">
        <v>147</v>
      </c>
      <c r="E75" s="9" t="s">
        <v>148</v>
      </c>
      <c r="F75" s="19">
        <v>1662</v>
      </c>
      <c r="G75" s="16" t="s">
        <v>76</v>
      </c>
      <c r="H75" s="99"/>
      <c r="I75" s="94">
        <v>15</v>
      </c>
      <c r="J75" s="10">
        <f>F75*$I75</f>
        <v>24930</v>
      </c>
      <c r="K75" s="2"/>
      <c r="L75" s="19">
        <f>L71</f>
        <v>2895</v>
      </c>
      <c r="M75" s="10">
        <f>L75*$I75</f>
        <v>43425</v>
      </c>
      <c r="N75" s="2"/>
      <c r="O75" s="19">
        <f>F75-L75</f>
        <v>-1233</v>
      </c>
      <c r="P75" s="58">
        <f>(F75-L75)/L75</f>
        <v>-0.42590673575129534</v>
      </c>
      <c r="R75" s="61"/>
      <c r="S75" s="2"/>
      <c r="T75" s="19">
        <v>1662</v>
      </c>
      <c r="U75" s="10">
        <f>T75*$I75</f>
        <v>24930</v>
      </c>
      <c r="X75" s="19">
        <v>10</v>
      </c>
      <c r="Y75" s="10">
        <f t="shared" si="6"/>
        <v>0</v>
      </c>
      <c r="AA75" s="19"/>
      <c r="AB75" s="10">
        <f t="shared" si="7"/>
        <v>0</v>
      </c>
    </row>
    <row r="76" spans="1:28" ht="30" x14ac:dyDescent="0.25">
      <c r="A76" s="7" t="s">
        <v>7</v>
      </c>
      <c r="B76" s="8" t="s">
        <v>72</v>
      </c>
      <c r="C76" s="8" t="s">
        <v>73</v>
      </c>
      <c r="D76" s="8" t="s">
        <v>149</v>
      </c>
      <c r="E76" s="9" t="s">
        <v>150</v>
      </c>
      <c r="F76" s="19">
        <v>10760</v>
      </c>
      <c r="G76" s="16" t="s">
        <v>94</v>
      </c>
      <c r="H76" s="99"/>
      <c r="I76" s="94">
        <v>5</v>
      </c>
      <c r="J76" s="10">
        <f>F76*$I76</f>
        <v>53800</v>
      </c>
      <c r="K76" s="2"/>
      <c r="L76" s="19">
        <v>0</v>
      </c>
      <c r="M76" s="10">
        <f>L76*$I76</f>
        <v>0</v>
      </c>
      <c r="N76" s="2"/>
      <c r="O76" s="19">
        <f>F76-L76</f>
        <v>10760</v>
      </c>
      <c r="P76" s="58"/>
      <c r="R76" s="61"/>
      <c r="S76" s="2"/>
      <c r="T76" s="19">
        <v>10760</v>
      </c>
      <c r="U76" s="10">
        <f>T76*$I76</f>
        <v>53800</v>
      </c>
      <c r="X76" s="19">
        <v>1.5</v>
      </c>
      <c r="Y76" s="10">
        <f t="shared" si="6"/>
        <v>0</v>
      </c>
      <c r="AA76" s="19"/>
      <c r="AB76" s="10">
        <f t="shared" si="7"/>
        <v>0</v>
      </c>
    </row>
    <row r="77" spans="1:28" ht="30" customHeight="1" x14ac:dyDescent="0.25">
      <c r="A77" s="33"/>
      <c r="B77" s="34"/>
      <c r="C77" s="34"/>
      <c r="D77" s="34"/>
      <c r="E77" s="39" t="s">
        <v>159</v>
      </c>
      <c r="F77" s="36"/>
      <c r="G77" s="38" t="s">
        <v>156</v>
      </c>
      <c r="H77" s="99"/>
      <c r="I77" s="35"/>
      <c r="J77" s="37">
        <f>SUM(J39:J76)</f>
        <v>1233021.5</v>
      </c>
      <c r="K77" s="2"/>
      <c r="L77" s="36"/>
      <c r="M77" s="37">
        <f>SUM(M39:M76)</f>
        <v>1068928.5</v>
      </c>
      <c r="N77" s="2"/>
      <c r="O77" s="36"/>
      <c r="P77" s="37"/>
      <c r="R77" s="61"/>
      <c r="S77" s="2"/>
      <c r="T77" s="36"/>
      <c r="U77" s="37">
        <f>SUM(U39:U76)</f>
        <v>989694.5</v>
      </c>
      <c r="X77" s="36"/>
      <c r="Y77" s="37">
        <f>SUM(Y39:Y76)</f>
        <v>0</v>
      </c>
      <c r="AA77" s="36"/>
      <c r="AB77" s="37">
        <f>SUM(AB39:AB76)</f>
        <v>0</v>
      </c>
    </row>
    <row r="78" spans="1:28" ht="75" x14ac:dyDescent="0.25">
      <c r="A78" s="7" t="s">
        <v>151</v>
      </c>
      <c r="B78" s="8" t="s">
        <v>8</v>
      </c>
      <c r="C78" s="8" t="s">
        <v>9</v>
      </c>
      <c r="D78" s="8" t="s">
        <v>10</v>
      </c>
      <c r="E78" s="9" t="s">
        <v>11</v>
      </c>
      <c r="F78" s="19">
        <v>6</v>
      </c>
      <c r="G78" s="16" t="s">
        <v>12</v>
      </c>
      <c r="H78" s="99"/>
      <c r="I78" s="94">
        <v>150</v>
      </c>
      <c r="J78" s="10">
        <f>F78*$I78</f>
        <v>900</v>
      </c>
      <c r="K78" s="2"/>
      <c r="L78" s="19">
        <v>0</v>
      </c>
      <c r="M78" s="10">
        <f>L78*$I78</f>
        <v>0</v>
      </c>
      <c r="N78" s="2"/>
      <c r="O78" s="19">
        <f>F78-L78</f>
        <v>6</v>
      </c>
      <c r="P78" s="10"/>
      <c r="R78" s="61"/>
      <c r="S78" s="2"/>
      <c r="T78" s="19">
        <v>6</v>
      </c>
      <c r="U78" s="10">
        <f>T78*$I78</f>
        <v>900</v>
      </c>
      <c r="X78" s="19">
        <v>200</v>
      </c>
      <c r="Y78" s="10">
        <f>X78*$F78</f>
        <v>0</v>
      </c>
      <c r="AA78" s="19"/>
      <c r="AB78" s="10">
        <f>AA78*$F78</f>
        <v>0</v>
      </c>
    </row>
    <row r="79" spans="1:28" ht="45" x14ac:dyDescent="0.25">
      <c r="A79" s="7" t="s">
        <v>151</v>
      </c>
      <c r="B79" s="8" t="s">
        <v>8</v>
      </c>
      <c r="C79" s="8" t="s">
        <v>9</v>
      </c>
      <c r="D79" s="8" t="s">
        <v>15</v>
      </c>
      <c r="E79" s="9" t="s">
        <v>16</v>
      </c>
      <c r="F79" s="19">
        <v>9</v>
      </c>
      <c r="G79" s="16" t="s">
        <v>17</v>
      </c>
      <c r="H79" s="99"/>
      <c r="I79" s="94">
        <v>312.5</v>
      </c>
      <c r="J79" s="10">
        <f>F79*$I79</f>
        <v>2812.5</v>
      </c>
      <c r="K79" s="2"/>
      <c r="L79" s="19">
        <v>0</v>
      </c>
      <c r="M79" s="10">
        <f>L79*$I79</f>
        <v>0</v>
      </c>
      <c r="N79" s="2"/>
      <c r="O79" s="19">
        <f>F79-L79</f>
        <v>9</v>
      </c>
      <c r="P79" s="10"/>
      <c r="R79" s="61"/>
      <c r="S79" s="2"/>
      <c r="T79" s="19">
        <v>9</v>
      </c>
      <c r="U79" s="10">
        <f>T79*$I79</f>
        <v>2812.5</v>
      </c>
      <c r="X79" s="19">
        <v>75</v>
      </c>
      <c r="Y79" s="10">
        <f t="shared" ref="Y79:Y80" si="8">X79*$F79</f>
        <v>0</v>
      </c>
      <c r="AA79" s="19"/>
      <c r="AB79" s="10">
        <f t="shared" ref="AB79:AB80" si="9">AA79*$F79</f>
        <v>0</v>
      </c>
    </row>
    <row r="80" spans="1:28" x14ac:dyDescent="0.25">
      <c r="A80" s="7" t="s">
        <v>151</v>
      </c>
      <c r="B80" s="8" t="s">
        <v>8</v>
      </c>
      <c r="C80" s="8" t="s">
        <v>9</v>
      </c>
      <c r="D80" s="8" t="s">
        <v>23</v>
      </c>
      <c r="E80" s="9" t="s">
        <v>24</v>
      </c>
      <c r="F80" s="19">
        <v>18</v>
      </c>
      <c r="G80" s="16" t="s">
        <v>17</v>
      </c>
      <c r="H80" s="99"/>
      <c r="I80" s="94">
        <v>150</v>
      </c>
      <c r="J80" s="10">
        <f>F80*$I80</f>
        <v>2700</v>
      </c>
      <c r="K80" s="2"/>
      <c r="L80" s="19">
        <v>0</v>
      </c>
      <c r="M80" s="10">
        <f>L80*$I80</f>
        <v>0</v>
      </c>
      <c r="N80" s="2"/>
      <c r="O80" s="19">
        <f>F80-L80</f>
        <v>18</v>
      </c>
      <c r="P80" s="10"/>
      <c r="R80" s="61"/>
      <c r="S80" s="2"/>
      <c r="T80" s="19">
        <v>18</v>
      </c>
      <c r="U80" s="10">
        <f>T80*$I80</f>
        <v>2700</v>
      </c>
      <c r="X80" s="19">
        <v>180</v>
      </c>
      <c r="Y80" s="10">
        <f t="shared" si="8"/>
        <v>0</v>
      </c>
      <c r="AA80" s="19"/>
      <c r="AB80" s="10">
        <f t="shared" si="9"/>
        <v>0</v>
      </c>
    </row>
    <row r="81" spans="1:28" ht="30" customHeight="1" x14ac:dyDescent="0.25">
      <c r="A81" s="33"/>
      <c r="B81" s="34"/>
      <c r="C81" s="34"/>
      <c r="D81" s="34"/>
      <c r="E81" s="39" t="s">
        <v>162</v>
      </c>
      <c r="F81" s="36"/>
      <c r="G81" s="38" t="s">
        <v>156</v>
      </c>
      <c r="H81" s="99"/>
      <c r="I81" s="35"/>
      <c r="J81" s="37">
        <f>SUM(J78:J80)</f>
        <v>6412.5</v>
      </c>
      <c r="K81" s="2"/>
      <c r="L81" s="36"/>
      <c r="M81" s="37">
        <f>SUM(M78:M80)</f>
        <v>0</v>
      </c>
      <c r="N81" s="2"/>
      <c r="O81" s="36"/>
      <c r="P81" s="37"/>
      <c r="R81" s="61"/>
      <c r="S81" s="2"/>
      <c r="T81" s="36"/>
      <c r="U81" s="37">
        <f>SUM(U78:U80)</f>
        <v>6412.5</v>
      </c>
      <c r="X81" s="36"/>
      <c r="Y81" s="37">
        <f>SUM(Y78:Y80)</f>
        <v>0</v>
      </c>
      <c r="AA81" s="36"/>
      <c r="AB81" s="37">
        <f>SUM(AB78:AB80)</f>
        <v>0</v>
      </c>
    </row>
    <row r="82" spans="1:28" ht="60" x14ac:dyDescent="0.25">
      <c r="A82" s="7" t="s">
        <v>151</v>
      </c>
      <c r="B82" s="8" t="s">
        <v>29</v>
      </c>
      <c r="C82" s="8" t="s">
        <v>30</v>
      </c>
      <c r="D82" s="8" t="s">
        <v>31</v>
      </c>
      <c r="E82" s="9" t="s">
        <v>32</v>
      </c>
      <c r="F82" s="19">
        <v>1</v>
      </c>
      <c r="G82" s="16" t="s">
        <v>17</v>
      </c>
      <c r="H82" s="99"/>
      <c r="I82" s="94"/>
      <c r="J82" s="10">
        <f>F82*$I82</f>
        <v>0</v>
      </c>
      <c r="K82" s="2"/>
      <c r="L82" s="19">
        <v>1</v>
      </c>
      <c r="M82" s="10">
        <f>L82*$I82</f>
        <v>0</v>
      </c>
      <c r="N82" s="2"/>
      <c r="O82" s="19">
        <f>F82-L82</f>
        <v>0</v>
      </c>
      <c r="P82" s="10"/>
      <c r="R82" s="61"/>
      <c r="S82" s="2"/>
      <c r="T82" s="19">
        <v>1</v>
      </c>
      <c r="U82" s="10">
        <f>T82*$I82</f>
        <v>0</v>
      </c>
      <c r="X82" s="19">
        <v>25000</v>
      </c>
      <c r="Y82" s="10">
        <f>X82*$F82</f>
        <v>0</v>
      </c>
      <c r="AA82" s="19"/>
      <c r="AB82" s="10">
        <f>AA82*$F82</f>
        <v>0</v>
      </c>
    </row>
    <row r="83" spans="1:28" ht="45" x14ac:dyDescent="0.25">
      <c r="A83" s="7" t="s">
        <v>151</v>
      </c>
      <c r="B83" s="8" t="s">
        <v>29</v>
      </c>
      <c r="C83" s="8" t="s">
        <v>30</v>
      </c>
      <c r="D83" s="8" t="s">
        <v>60</v>
      </c>
      <c r="E83" s="9" t="s">
        <v>61</v>
      </c>
      <c r="F83" s="19">
        <v>1</v>
      </c>
      <c r="G83" s="16" t="s">
        <v>17</v>
      </c>
      <c r="H83" s="99"/>
      <c r="I83" s="94"/>
      <c r="J83" s="10">
        <f>F83*$I83</f>
        <v>0</v>
      </c>
      <c r="K83" s="2"/>
      <c r="L83" s="19">
        <v>1</v>
      </c>
      <c r="M83" s="10">
        <f>L83*$I83</f>
        <v>0</v>
      </c>
      <c r="N83" s="2"/>
      <c r="O83" s="19">
        <f>F83-L83</f>
        <v>0</v>
      </c>
      <c r="P83" s="10"/>
      <c r="R83" s="61"/>
      <c r="S83" s="2"/>
      <c r="T83" s="19">
        <v>1</v>
      </c>
      <c r="U83" s="10">
        <f>T83*$I83</f>
        <v>0</v>
      </c>
      <c r="X83" s="19">
        <v>5000</v>
      </c>
      <c r="Y83" s="10">
        <f>X83*$F83</f>
        <v>0</v>
      </c>
      <c r="AA83" s="19"/>
      <c r="AB83" s="10">
        <f>AA83*$F83</f>
        <v>0</v>
      </c>
    </row>
    <row r="84" spans="1:28" ht="30" customHeight="1" x14ac:dyDescent="0.25">
      <c r="A84" s="33"/>
      <c r="B84" s="34"/>
      <c r="C84" s="34"/>
      <c r="D84" s="34"/>
      <c r="E84" s="39" t="s">
        <v>161</v>
      </c>
      <c r="F84" s="36"/>
      <c r="G84" s="38" t="s">
        <v>156</v>
      </c>
      <c r="H84" s="99"/>
      <c r="I84" s="35"/>
      <c r="J84" s="37">
        <f>SUM(J82:J83)</f>
        <v>0</v>
      </c>
      <c r="K84" s="2"/>
      <c r="L84" s="36"/>
      <c r="M84" s="37">
        <f>SUM(M82:M83)</f>
        <v>0</v>
      </c>
      <c r="N84" s="2"/>
      <c r="O84" s="36"/>
      <c r="P84" s="37"/>
      <c r="R84" s="61"/>
      <c r="S84" s="2"/>
      <c r="T84" s="36"/>
      <c r="U84" s="37">
        <f>SUM(U82:U83)</f>
        <v>0</v>
      </c>
      <c r="X84" s="36"/>
      <c r="Y84" s="37">
        <f>SUM(Y82:Y83)</f>
        <v>0</v>
      </c>
      <c r="AA84" s="36"/>
      <c r="AB84" s="37">
        <f>SUM(AB82:AB83)</f>
        <v>0</v>
      </c>
    </row>
    <row r="85" spans="1:28" x14ac:dyDescent="0.25">
      <c r="A85" s="7"/>
      <c r="B85" s="8"/>
      <c r="C85" s="8"/>
      <c r="D85" s="8"/>
      <c r="E85" s="9" t="s">
        <v>167</v>
      </c>
      <c r="F85" s="19"/>
      <c r="G85" s="16"/>
      <c r="H85" s="99"/>
      <c r="I85" s="94">
        <f>I42</f>
        <v>10</v>
      </c>
      <c r="J85" s="10">
        <f>F85*$I85</f>
        <v>0</v>
      </c>
      <c r="K85" s="2"/>
      <c r="L85" s="19">
        <v>1430</v>
      </c>
      <c r="M85" s="10">
        <f>L85*$I85</f>
        <v>14300</v>
      </c>
      <c r="N85" s="2"/>
      <c r="O85" s="19">
        <f>F85-L85</f>
        <v>-1430</v>
      </c>
      <c r="P85" s="58">
        <f>(F85-L85)/L85</f>
        <v>-1</v>
      </c>
      <c r="R85" s="61"/>
      <c r="S85" s="2"/>
      <c r="T85" s="19"/>
      <c r="U85" s="10">
        <f>T85*$I85</f>
        <v>0</v>
      </c>
      <c r="X85" s="19"/>
      <c r="Y85" s="10">
        <f>X85*$F85</f>
        <v>0</v>
      </c>
      <c r="AA85" s="19"/>
      <c r="AB85" s="10">
        <f>AA85*$F85</f>
        <v>0</v>
      </c>
    </row>
    <row r="86" spans="1:28" ht="75" x14ac:dyDescent="0.25">
      <c r="A86" s="7" t="s">
        <v>151</v>
      </c>
      <c r="B86" s="8" t="s">
        <v>72</v>
      </c>
      <c r="C86" s="8" t="s">
        <v>73</v>
      </c>
      <c r="D86" s="8" t="s">
        <v>139</v>
      </c>
      <c r="E86" s="9" t="s">
        <v>140</v>
      </c>
      <c r="F86" s="19">
        <v>2075</v>
      </c>
      <c r="G86" s="16" t="s">
        <v>76</v>
      </c>
      <c r="H86" s="99"/>
      <c r="I86" s="94">
        <v>10</v>
      </c>
      <c r="J86" s="10">
        <f>F86*$I86</f>
        <v>20750</v>
      </c>
      <c r="K86" s="2"/>
      <c r="L86" s="19">
        <v>190</v>
      </c>
      <c r="M86" s="10">
        <f>L86*$I86</f>
        <v>1900</v>
      </c>
      <c r="N86" s="2"/>
      <c r="O86" s="19">
        <f>F86-L86</f>
        <v>1885</v>
      </c>
      <c r="P86" s="58">
        <f>(F86-L86)/L86</f>
        <v>9.9210526315789469</v>
      </c>
      <c r="R86" s="83" t="s">
        <v>186</v>
      </c>
      <c r="S86" s="2"/>
      <c r="T86" s="19">
        <v>2075</v>
      </c>
      <c r="U86" s="10">
        <f>T86*$I86</f>
        <v>20750</v>
      </c>
      <c r="X86" s="19">
        <v>7</v>
      </c>
      <c r="Y86" s="10">
        <f t="shared" ref="Y86:Y89" si="10">X86*$F86</f>
        <v>0</v>
      </c>
      <c r="AA86" s="19"/>
      <c r="AB86" s="10">
        <f t="shared" ref="AB86:AB89" si="11">AA86*$F86</f>
        <v>0</v>
      </c>
    </row>
    <row r="87" spans="1:28" x14ac:dyDescent="0.25">
      <c r="A87" s="7" t="s">
        <v>151</v>
      </c>
      <c r="B87" s="8" t="s">
        <v>72</v>
      </c>
      <c r="C87" s="8" t="s">
        <v>73</v>
      </c>
      <c r="D87" s="8" t="s">
        <v>141</v>
      </c>
      <c r="E87" s="9" t="s">
        <v>142</v>
      </c>
      <c r="F87" s="19">
        <v>200</v>
      </c>
      <c r="G87" s="16" t="s">
        <v>130</v>
      </c>
      <c r="H87" s="99"/>
      <c r="I87" s="94">
        <v>300</v>
      </c>
      <c r="J87" s="10">
        <f>F87*$I87</f>
        <v>60000</v>
      </c>
      <c r="K87" s="2"/>
      <c r="L87" s="19">
        <f>L86*50*0.001</f>
        <v>9.5</v>
      </c>
      <c r="M87" s="10">
        <f>L87*$I87</f>
        <v>2850</v>
      </c>
      <c r="N87" s="2"/>
      <c r="O87" s="19">
        <f>F87-L87</f>
        <v>190.5</v>
      </c>
      <c r="P87" s="58">
        <f>(F87-L87)/L87</f>
        <v>20.05263157894737</v>
      </c>
      <c r="R87" s="61"/>
      <c r="S87" s="2"/>
      <c r="T87" s="19">
        <v>200</v>
      </c>
      <c r="U87" s="10">
        <f>T87*$I87</f>
        <v>60000</v>
      </c>
      <c r="X87" s="19">
        <v>210</v>
      </c>
      <c r="Y87" s="10">
        <f t="shared" si="10"/>
        <v>0</v>
      </c>
      <c r="AA87" s="19"/>
      <c r="AB87" s="10">
        <f t="shared" si="11"/>
        <v>0</v>
      </c>
    </row>
    <row r="88" spans="1:28" ht="45" x14ac:dyDescent="0.25">
      <c r="A88" s="7" t="s">
        <v>151</v>
      </c>
      <c r="B88" s="8" t="s">
        <v>72</v>
      </c>
      <c r="C88" s="8" t="s">
        <v>73</v>
      </c>
      <c r="D88" s="8" t="s">
        <v>143</v>
      </c>
      <c r="E88" s="9" t="s">
        <v>152</v>
      </c>
      <c r="F88" s="19">
        <v>1195</v>
      </c>
      <c r="G88" s="16" t="s">
        <v>76</v>
      </c>
      <c r="H88" s="99"/>
      <c r="I88" s="94">
        <v>10</v>
      </c>
      <c r="J88" s="10">
        <f>F88*$I88</f>
        <v>11950</v>
      </c>
      <c r="K88" s="2"/>
      <c r="L88" s="19"/>
      <c r="M88" s="10">
        <f>L88*$I88</f>
        <v>0</v>
      </c>
      <c r="N88" s="2"/>
      <c r="O88" s="19">
        <f>F88-L88</f>
        <v>1195</v>
      </c>
      <c r="P88" s="58"/>
      <c r="R88" s="61"/>
      <c r="S88" s="2"/>
      <c r="T88" s="19">
        <v>1195</v>
      </c>
      <c r="U88" s="10">
        <f>T88*$I88</f>
        <v>11950</v>
      </c>
      <c r="X88" s="19">
        <v>10</v>
      </c>
      <c r="Y88" s="10">
        <f t="shared" si="10"/>
        <v>0</v>
      </c>
      <c r="AA88" s="19"/>
      <c r="AB88" s="10">
        <f t="shared" si="11"/>
        <v>0</v>
      </c>
    </row>
    <row r="89" spans="1:28" ht="75" x14ac:dyDescent="0.25">
      <c r="A89" s="11" t="s">
        <v>151</v>
      </c>
      <c r="B89" s="12" t="s">
        <v>72</v>
      </c>
      <c r="C89" s="12" t="s">
        <v>73</v>
      </c>
      <c r="D89" s="12" t="s">
        <v>145</v>
      </c>
      <c r="E89" s="13" t="s">
        <v>146</v>
      </c>
      <c r="F89" s="20">
        <v>2799</v>
      </c>
      <c r="G89" s="17" t="s">
        <v>76</v>
      </c>
      <c r="H89" s="99"/>
      <c r="I89" s="97">
        <v>15</v>
      </c>
      <c r="J89" s="14">
        <f>F89*$I89</f>
        <v>41985</v>
      </c>
      <c r="K89" s="2"/>
      <c r="L89" s="20">
        <v>190</v>
      </c>
      <c r="M89" s="14">
        <f>L89*$I89</f>
        <v>2850</v>
      </c>
      <c r="N89" s="2"/>
      <c r="O89" s="20">
        <f>F89-L89</f>
        <v>2609</v>
      </c>
      <c r="P89" s="58">
        <f>(F89-L89)/L89</f>
        <v>13.731578947368421</v>
      </c>
      <c r="R89" s="61"/>
      <c r="S89" s="2"/>
      <c r="T89" s="20">
        <v>2799</v>
      </c>
      <c r="U89" s="14">
        <f>T89*$I89</f>
        <v>41985</v>
      </c>
      <c r="X89" s="20">
        <v>15</v>
      </c>
      <c r="Y89" s="10">
        <f t="shared" si="10"/>
        <v>0</v>
      </c>
      <c r="AA89" s="20"/>
      <c r="AB89" s="10">
        <f t="shared" si="11"/>
        <v>0</v>
      </c>
    </row>
    <row r="90" spans="1:28" ht="30" customHeight="1" x14ac:dyDescent="0.25">
      <c r="A90" s="33"/>
      <c r="B90" s="34"/>
      <c r="C90" s="34"/>
      <c r="D90" s="34"/>
      <c r="E90" s="39" t="s">
        <v>160</v>
      </c>
      <c r="F90" s="36"/>
      <c r="G90" s="38" t="s">
        <v>156</v>
      </c>
      <c r="H90" s="99"/>
      <c r="I90" s="35"/>
      <c r="J90" s="37">
        <f>SUM(J86:J89)</f>
        <v>134685</v>
      </c>
      <c r="K90" s="2"/>
      <c r="L90" s="36"/>
      <c r="M90" s="37">
        <f>SUM(M86:M89)</f>
        <v>7600</v>
      </c>
      <c r="N90" s="2"/>
      <c r="O90" s="36"/>
      <c r="P90" s="37"/>
      <c r="R90" s="62"/>
      <c r="S90" s="2"/>
      <c r="T90" s="36"/>
      <c r="U90" s="37">
        <f>SUM(U86:U89)</f>
        <v>134685</v>
      </c>
      <c r="X90" s="36"/>
      <c r="Y90" s="37">
        <f>SUM(Y86:Y89)</f>
        <v>0</v>
      </c>
      <c r="AA90" s="36"/>
      <c r="AB90" s="37">
        <f>SUM(AB86:AB89)</f>
        <v>0</v>
      </c>
    </row>
    <row r="91" spans="1:28" ht="15.75" thickBot="1" x14ac:dyDescent="0.3">
      <c r="J91" s="42"/>
      <c r="M91" s="42"/>
      <c r="P91" s="52"/>
      <c r="U91" s="42"/>
      <c r="Y91" s="42"/>
      <c r="AB91" s="42"/>
    </row>
    <row r="92" spans="1:28" ht="15.75" thickTop="1" x14ac:dyDescent="0.25">
      <c r="F92" s="41"/>
      <c r="G92" s="40" t="s">
        <v>163</v>
      </c>
      <c r="H92" s="41"/>
      <c r="J92" s="84">
        <f>J90+J84+J81+J77+J38+J33+J16</f>
        <v>1495554</v>
      </c>
      <c r="K92" s="85"/>
      <c r="L92" s="85"/>
      <c r="M92" s="84">
        <f>M90+M84+M81+M77+M38+M33+M16</f>
        <v>1250977.5</v>
      </c>
      <c r="N92" s="85"/>
      <c r="O92" s="86">
        <f>J92-M92</f>
        <v>244576.5</v>
      </c>
      <c r="P92" s="1" t="s">
        <v>171</v>
      </c>
      <c r="S92" s="41"/>
      <c r="T92" s="41"/>
      <c r="U92" s="84">
        <f>U90+U84+U81+U77+U38+U33+U16</f>
        <v>1252227</v>
      </c>
      <c r="V92" s="86">
        <f>U92-M92</f>
        <v>1249.5</v>
      </c>
      <c r="W92" t="s">
        <v>171</v>
      </c>
      <c r="X92" s="41"/>
      <c r="Y92" s="84">
        <f>Y90+Y84+Y81+Y77+Y38+Y33+Y16</f>
        <v>0</v>
      </c>
      <c r="AA92" s="41"/>
      <c r="AB92" s="84">
        <f>AB90+AB84+AB81+AB77+AB38+AB33+AB16</f>
        <v>0</v>
      </c>
    </row>
    <row r="93" spans="1:28" x14ac:dyDescent="0.25">
      <c r="J93" s="87"/>
      <c r="K93" s="87"/>
      <c r="L93" s="87"/>
      <c r="M93" s="87"/>
      <c r="N93" s="87"/>
      <c r="O93" s="84">
        <f>O92+R68</f>
        <v>-239343.5</v>
      </c>
      <c r="P93" s="41" t="s">
        <v>172</v>
      </c>
      <c r="U93" s="87"/>
      <c r="V93" s="84">
        <f>V92+R68</f>
        <v>-482670.5</v>
      </c>
      <c r="W93" s="41" t="s">
        <v>172</v>
      </c>
    </row>
    <row r="94" spans="1:28" x14ac:dyDescent="0.25">
      <c r="J94" s="1"/>
    </row>
  </sheetData>
  <autoFilter ref="A7:J91" xr:uid="{00000000-0009-0000-0000-000000000000}"/>
  <mergeCells count="9">
    <mergeCell ref="X6:Y6"/>
    <mergeCell ref="I6:J6"/>
    <mergeCell ref="AA6:AB6"/>
    <mergeCell ref="T2:U2"/>
    <mergeCell ref="T3:U3"/>
    <mergeCell ref="T4:U4"/>
    <mergeCell ref="L6:M6"/>
    <mergeCell ref="O6:P6"/>
    <mergeCell ref="T6:U6"/>
  </mergeCells>
  <conditionalFormatting sqref="O8:O90">
    <cfRule type="cellIs" dxfId="0" priority="5" operator="lessThan">
      <formula>0</formula>
    </cfRule>
  </conditionalFormatting>
  <conditionalFormatting sqref="P39:P76">
    <cfRule type="dataBar" priority="3">
      <dataBar>
        <cfvo type="min"/>
        <cfvo type="max"/>
        <color rgb="FFFF0000"/>
      </dataBar>
      <extLst>
        <ext xmlns:x14="http://schemas.microsoft.com/office/spreadsheetml/2009/9/main" uri="{B025F937-C7B1-47D3-B67F-A62EFF666E3E}">
          <x14:id>{96E759B2-6C0D-4921-A8D7-474742F0FA66}</x14:id>
        </ext>
      </extLst>
    </cfRule>
    <cfRule type="dataBar" priority="4">
      <dataBar>
        <cfvo type="min"/>
        <cfvo type="max"/>
        <color rgb="FF638EC6"/>
      </dataBar>
      <extLst>
        <ext xmlns:x14="http://schemas.microsoft.com/office/spreadsheetml/2009/9/main" uri="{B025F937-C7B1-47D3-B67F-A62EFF666E3E}">
          <x14:id>{05D78F8C-2DE2-45D1-AA61-A1D61356A385}</x14:id>
        </ext>
      </extLst>
    </cfRule>
  </conditionalFormatting>
  <conditionalFormatting sqref="P85:P89">
    <cfRule type="dataBar" priority="1">
      <dataBar>
        <cfvo type="min"/>
        <cfvo type="max"/>
        <color rgb="FFFF0000"/>
      </dataBar>
      <extLst>
        <ext xmlns:x14="http://schemas.microsoft.com/office/spreadsheetml/2009/9/main" uri="{B025F937-C7B1-47D3-B67F-A62EFF666E3E}">
          <x14:id>{E7278761-238F-4E1C-A527-67A0DC37B232}</x14:id>
        </ext>
      </extLst>
    </cfRule>
    <cfRule type="dataBar" priority="2">
      <dataBar>
        <cfvo type="min"/>
        <cfvo type="max"/>
        <color rgb="FF638EC6"/>
      </dataBar>
      <extLst>
        <ext xmlns:x14="http://schemas.microsoft.com/office/spreadsheetml/2009/9/main" uri="{B025F937-C7B1-47D3-B67F-A62EFF666E3E}">
          <x14:id>{3D6EEB8E-7C16-4387-BA50-914309F6DD60}</x14:id>
        </ext>
      </extLst>
    </cfRule>
  </conditionalFormatting>
  <pageMargins left="0.75" right="0.75" top="1" bottom="1" header="0.5" footer="0.5"/>
  <pageSetup paperSize="9" scale="22" orientation="portrait" verticalDpi="0" r:id="rId1"/>
  <rowBreaks count="1" manualBreakCount="1">
    <brk id="52" max="16383"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96E759B2-6C0D-4921-A8D7-474742F0FA66}">
            <x14:dataBar minLength="0" maxLength="100" gradient="0">
              <x14:cfvo type="autoMin"/>
              <x14:cfvo type="autoMax"/>
              <x14:negativeFillColor rgb="FF00B050"/>
              <x14:axisColor rgb="FFFF0000"/>
            </x14:dataBar>
          </x14:cfRule>
          <x14:cfRule type="dataBar" id="{05D78F8C-2DE2-45D1-AA61-A1D61356A385}">
            <x14:dataBar minLength="0" maxLength="100" border="1" negativeBarBorderColorSameAsPositive="0">
              <x14:cfvo type="autoMin"/>
              <x14:cfvo type="autoMax"/>
              <x14:borderColor rgb="FF638EC6"/>
              <x14:negativeFillColor rgb="FFFF0000"/>
              <x14:negativeBorderColor rgb="FFFF0000"/>
              <x14:axisColor rgb="FF000000"/>
            </x14:dataBar>
          </x14:cfRule>
          <xm:sqref>P39:P76</xm:sqref>
        </x14:conditionalFormatting>
        <x14:conditionalFormatting xmlns:xm="http://schemas.microsoft.com/office/excel/2006/main">
          <x14:cfRule type="dataBar" id="{E7278761-238F-4E1C-A527-67A0DC37B232}">
            <x14:dataBar minLength="0" maxLength="100" gradient="0">
              <x14:cfvo type="autoMin"/>
              <x14:cfvo type="autoMax"/>
              <x14:negativeFillColor rgb="FF00B050"/>
              <x14:axisColor rgb="FFFF0000"/>
            </x14:dataBar>
          </x14:cfRule>
          <x14:cfRule type="dataBar" id="{3D6EEB8E-7C16-4387-BA50-914309F6DD60}">
            <x14:dataBar minLength="0" maxLength="100" border="1" negativeBarBorderColorSameAsPositive="0">
              <x14:cfvo type="autoMin"/>
              <x14:cfvo type="autoMax"/>
              <x14:borderColor rgb="FF638EC6"/>
              <x14:negativeFillColor rgb="FFFF0000"/>
              <x14:negativeBorderColor rgb="FFFF0000"/>
              <x14:axisColor rgb="FF000000"/>
            </x14:dataBar>
          </x14:cfRule>
          <xm:sqref>P85:P89</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Comparatif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Lisa Sebille</cp:lastModifiedBy>
  <dcterms:created xsi:type="dcterms:W3CDTF">2026-08-27T09:30:54Z</dcterms:created>
  <dcterms:modified xsi:type="dcterms:W3CDTF">2026-10-13T14:56:27Z</dcterms:modified>
</cp:coreProperties>
</file>